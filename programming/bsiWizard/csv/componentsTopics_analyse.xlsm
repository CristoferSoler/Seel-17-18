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X1 Carbon\Documents\GitHub\Seel-17-18\programming\bsiWizard\csv\"/>
    </mc:Choice>
  </mc:AlternateContent>
  <bookViews>
    <workbookView xWindow="0" yWindow="1200" windowWidth="24000" windowHeight="8895" xr2:uid="{00000000-000D-0000-FFFF-FFFF00000000}"/>
  </bookViews>
  <sheets>
    <sheet name="componentsTopics" sheetId="1" r:id="rId1"/>
    <sheet name="Tabelle6" sheetId="13" r:id="rId2"/>
    <sheet name="Tabelle5" sheetId="12" r:id="rId3"/>
    <sheet name="Tabelle4" sheetId="11" r:id="rId4"/>
    <sheet name="after addition" sheetId="9" r:id="rId5"/>
    <sheet name="after institution" sheetId="10" r:id="rId6"/>
    <sheet name="after server" sheetId="8" r:id="rId7"/>
    <sheet name="after secure" sheetId="7" r:id="rId8"/>
    <sheet name="after employee" sheetId="6" r:id="rId9"/>
    <sheet name="after user" sheetId="5" r:id="rId10"/>
    <sheet name="after access" sheetId="4" r:id="rId11"/>
    <sheet name="data" sheetId="3" r:id="rId12"/>
    <sheet name="all" sheetId="2" r:id="rId13"/>
  </sheets>
  <definedNames>
    <definedName name="_xlnm._FilterDatabase" localSheetId="0" hidden="1">componentsTopics!$Y$1:$AI$42</definedName>
    <definedName name="_xlnm.Criteria" localSheetId="0">componentsTopics!#REF!</definedName>
    <definedName name="_xlnm.Extract" localSheetId="0">componentsTopics!#REF!</definedName>
  </definedNames>
  <calcPr calcId="171027"/>
</workbook>
</file>

<file path=xl/calcChain.xml><?xml version="1.0" encoding="utf-8"?>
<calcChain xmlns="http://schemas.openxmlformats.org/spreadsheetml/2006/main">
  <c r="GD8" i="1" l="1"/>
  <c r="GD4" i="1"/>
  <c r="FQ9" i="1"/>
  <c r="FQ4" i="1"/>
  <c r="G1" i="12"/>
  <c r="FD12" i="1"/>
  <c r="FD4" i="1"/>
  <c r="F1" i="11"/>
  <c r="EQ12" i="1"/>
  <c r="EQ4" i="1"/>
  <c r="ED4" i="1"/>
  <c r="ED14" i="1"/>
  <c r="DD66" i="1"/>
  <c r="DD59" i="1"/>
  <c r="DD56" i="1"/>
  <c r="DD33" i="1"/>
  <c r="DD27" i="1"/>
  <c r="DQ16" i="1"/>
  <c r="DQ3" i="1"/>
  <c r="DD24" i="1"/>
  <c r="DD20" i="1"/>
  <c r="DD10" i="1"/>
  <c r="DD6" i="1"/>
  <c r="DD2" i="1"/>
</calcChain>
</file>

<file path=xl/sharedStrings.xml><?xml version="1.0" encoding="utf-8"?>
<sst xmlns="http://schemas.openxmlformats.org/spreadsheetml/2006/main" count="11166" uniqueCount="523">
  <si>
    <t>APP.1.1 Office Products</t>
  </si>
  <si>
    <t>office</t>
  </si>
  <si>
    <t>product</t>
  </si>
  <si>
    <t>document</t>
  </si>
  <si>
    <t>process</t>
  </si>
  <si>
    <t>installation</t>
  </si>
  <si>
    <t>user</t>
  </si>
  <si>
    <t>feature</t>
  </si>
  <si>
    <t>software</t>
  </si>
  <si>
    <t>error</t>
  </si>
  <si>
    <t>disabled</t>
  </si>
  <si>
    <t>APP.1.2 Web browser</t>
  </si>
  <si>
    <t>browser</t>
  </si>
  <si>
    <t>web</t>
  </si>
  <si>
    <t>shareddocs/downloads</t>
  </si>
  <si>
    <t>password</t>
  </si>
  <si>
    <t>pdf</t>
  </si>
  <si>
    <t>version</t>
  </si>
  <si>
    <t>bund.de</t>
  </si>
  <si>
    <t>www.bsi</t>
  </si>
  <si>
    <t>administration</t>
  </si>
  <si>
    <t>attacker</t>
  </si>
  <si>
    <t>APP.2.1 General Directory Service</t>
  </si>
  <si>
    <t>directory</t>
  </si>
  <si>
    <t>service</t>
  </si>
  <si>
    <t>planning</t>
  </si>
  <si>
    <t>data</t>
  </si>
  <si>
    <t>access</t>
  </si>
  <si>
    <t>addition</t>
  </si>
  <si>
    <t>server</t>
  </si>
  <si>
    <t>granted</t>
  </si>
  <si>
    <t>permission</t>
  </si>
  <si>
    <t>administrative</t>
  </si>
  <si>
    <t>APP.2.2 Active Directory</t>
  </si>
  <si>
    <t>active</t>
  </si>
  <si>
    <t>domain</t>
  </si>
  <si>
    <t>account</t>
  </si>
  <si>
    <t>management</t>
  </si>
  <si>
    <t>protected</t>
  </si>
  <si>
    <t>http</t>
  </si>
  <si>
    <t>technet</t>
  </si>
  <si>
    <t>APP.3.1 Web applications</t>
  </si>
  <si>
    <t>application</t>
  </si>
  <si>
    <t>app</t>
  </si>
  <si>
    <t>session</t>
  </si>
  <si>
    <t>APP.3.2 Webserver</t>
  </si>
  <si>
    <t>file</t>
  </si>
  <si>
    <t>bsi</t>
  </si>
  <si>
    <t>authentication</t>
  </si>
  <si>
    <t>resource</t>
  </si>
  <si>
    <t>APP.3.3 Fileserver</t>
  </si>
  <si>
    <t>storage</t>
  </si>
  <si>
    <t>unauthorized</t>
  </si>
  <si>
    <t>raid</t>
  </si>
  <si>
    <t>backup</t>
  </si>
  <si>
    <t>time</t>
  </si>
  <si>
    <t>program</t>
  </si>
  <si>
    <t>malicious</t>
  </si>
  <si>
    <t>APP.3.4 Samba</t>
  </si>
  <si>
    <t>samba</t>
  </si>
  <si>
    <t>configuration</t>
  </si>
  <si>
    <t>linux</t>
  </si>
  <si>
    <t>secure</t>
  </si>
  <si>
    <t>carefully</t>
  </si>
  <si>
    <t>operating</t>
  </si>
  <si>
    <t>APP.3.6 DNS server</t>
  </si>
  <si>
    <t>dns</t>
  </si>
  <si>
    <t>advertising</t>
  </si>
  <si>
    <t>resolving</t>
  </si>
  <si>
    <t>zone</t>
  </si>
  <si>
    <t>internal</t>
  </si>
  <si>
    <t>APP.4.3 Relational Database Systems</t>
  </si>
  <si>
    <t>database</t>
  </si>
  <si>
    <t>created</t>
  </si>
  <si>
    <t>policy</t>
  </si>
  <si>
    <t>defined</t>
  </si>
  <si>
    <t>authorization</t>
  </si>
  <si>
    <t>APP.5.1 General Groupware</t>
  </si>
  <si>
    <t>groupware</t>
  </si>
  <si>
    <t>communication</t>
  </si>
  <si>
    <t>email</t>
  </si>
  <si>
    <t>administrator</t>
  </si>
  <si>
    <t>APP.5.2 Microsoft Exchange and Outlook</t>
  </si>
  <si>
    <t>exchange</t>
  </si>
  <si>
    <t>microsoft</t>
  </si>
  <si>
    <t>outlook</t>
  </si>
  <si>
    <t>mechanism</t>
  </si>
  <si>
    <t>connector</t>
  </si>
  <si>
    <t>client</t>
  </si>
  <si>
    <t>CON.1 crypto concept</t>
  </si>
  <si>
    <t>crypto</t>
  </si>
  <si>
    <t>cryptographic</t>
  </si>
  <si>
    <t>con</t>
  </si>
  <si>
    <t>procedure</t>
  </si>
  <si>
    <t>method</t>
  </si>
  <si>
    <t>CON.2 Privacy</t>
  </si>
  <si>
    <t>institution</t>
  </si>
  <si>
    <t>personal</t>
  </si>
  <si>
    <t>model</t>
  </si>
  <si>
    <t>processing</t>
  </si>
  <si>
    <t>individual</t>
  </si>
  <si>
    <t>it-grundschutz</t>
  </si>
  <si>
    <t>fundamental</t>
  </si>
  <si>
    <t>hand</t>
  </si>
  <si>
    <t>CON.3 data backup concept</t>
  </si>
  <si>
    <t>concept</t>
  </si>
  <si>
    <t>backed</t>
  </si>
  <si>
    <t>recovery</t>
  </si>
  <si>
    <t>lost</t>
  </si>
  <si>
    <t>informed</t>
  </si>
  <si>
    <t>CON.4 Selection and use of standard software</t>
  </si>
  <si>
    <t>license</t>
  </si>
  <si>
    <t>department</t>
  </si>
  <si>
    <t>catalog</t>
  </si>
  <si>
    <t>certified</t>
  </si>
  <si>
    <t>CON.5 Development and use of professional applications</t>
  </si>
  <si>
    <t>missing</t>
  </si>
  <si>
    <t>function</t>
  </si>
  <si>
    <t>specialized</t>
  </si>
  <si>
    <t>development</t>
  </si>
  <si>
    <t>CON.6 Delete and destroy</t>
  </si>
  <si>
    <t>employee</t>
  </si>
  <si>
    <t>deletion</t>
  </si>
  <si>
    <t>disposal</t>
  </si>
  <si>
    <t>destruction</t>
  </si>
  <si>
    <t>head</t>
  </si>
  <si>
    <t>guideline</t>
  </si>
  <si>
    <t>carrier</t>
  </si>
  <si>
    <t>appropriate</t>
  </si>
  <si>
    <t>CON.7 Information security on trips abroad</t>
  </si>
  <si>
    <t>mobile</t>
  </si>
  <si>
    <t>travel</t>
  </si>
  <si>
    <t>device</t>
  </si>
  <si>
    <t>abroad</t>
  </si>
  <si>
    <t>traveling</t>
  </si>
  <si>
    <t>traveler</t>
  </si>
  <si>
    <t>well</t>
  </si>
  <si>
    <t>DER.1 Detection of safety-relevant events</t>
  </si>
  <si>
    <t>detection</t>
  </si>
  <si>
    <t>network</t>
  </si>
  <si>
    <t>der</t>
  </si>
  <si>
    <t>security-related</t>
  </si>
  <si>
    <t>training</t>
  </si>
  <si>
    <t>safety-relevant</t>
  </si>
  <si>
    <t>DER.2.1 Treatment of security incidents</t>
  </si>
  <si>
    <t>incident</t>
  </si>
  <si>
    <t>team</t>
  </si>
  <si>
    <t>emergency</t>
  </si>
  <si>
    <t>operation</t>
  </si>
  <si>
    <t>regularly</t>
  </si>
  <si>
    <t>DER.2.2 Provision for IT forensics</t>
  </si>
  <si>
    <t>forensic</t>
  </si>
  <si>
    <t>evidence</t>
  </si>
  <si>
    <t>investigation</t>
  </si>
  <si>
    <t>investigator</t>
  </si>
  <si>
    <t>properly</t>
  </si>
  <si>
    <t>DER.2.3 Clearance of far-reaching security incidents</t>
  </si>
  <si>
    <t>apt</t>
  </si>
  <si>
    <t>body</t>
  </si>
  <si>
    <t>plan</t>
  </si>
  <si>
    <t>DER.3.1 Audits and revisions</t>
  </si>
  <si>
    <t>audit</t>
  </si>
  <si>
    <t>revision</t>
  </si>
  <si>
    <t>documented</t>
  </si>
  <si>
    <t>on-site</t>
  </si>
  <si>
    <t>auditor</t>
  </si>
  <si>
    <t>report</t>
  </si>
  <si>
    <t>isb</t>
  </si>
  <si>
    <t>DER.3.2 IS revision for federal authorities</t>
  </si>
  <si>
    <t>authority</t>
  </si>
  <si>
    <t>result</t>
  </si>
  <si>
    <t>inspection</t>
  </si>
  <si>
    <t>federal</t>
  </si>
  <si>
    <t>additional</t>
  </si>
  <si>
    <t>DER.4 emergency management</t>
  </si>
  <si>
    <t>cia</t>
  </si>
  <si>
    <t>institutional</t>
  </si>
  <si>
    <t>critical</t>
  </si>
  <si>
    <t>continuity</t>
  </si>
  <si>
    <t>business</t>
  </si>
  <si>
    <t>review</t>
  </si>
  <si>
    <t>IND.1 Operating and Control Technology</t>
  </si>
  <si>
    <t>control</t>
  </si>
  <si>
    <t>component</t>
  </si>
  <si>
    <t>environment</t>
  </si>
  <si>
    <t>technical</t>
  </si>
  <si>
    <t>IND.2.1 General ICS Component</t>
  </si>
  <si>
    <t>ind</t>
  </si>
  <si>
    <t>update</t>
  </si>
  <si>
    <t xml:space="preserve">IND.2.2 Programmable Logic Controller (PLC) </t>
  </si>
  <si>
    <t>plc</t>
  </si>
  <si>
    <t>controller</t>
  </si>
  <si>
    <t>plcs</t>
  </si>
  <si>
    <t>programmable</t>
  </si>
  <si>
    <t>manipulation</t>
  </si>
  <si>
    <t>IND.2.3 Sensors and actuators</t>
  </si>
  <si>
    <t>sensor</t>
  </si>
  <si>
    <t>interface</t>
  </si>
  <si>
    <t>block</t>
  </si>
  <si>
    <t>maintenance</t>
  </si>
  <si>
    <t>environmental</t>
  </si>
  <si>
    <t>intelligent</t>
  </si>
  <si>
    <t>IND.2.4 Machine</t>
  </si>
  <si>
    <t>machine</t>
  </si>
  <si>
    <t>remote</t>
  </si>
  <si>
    <t>INF.1 General Building</t>
  </si>
  <si>
    <t>building</t>
  </si>
  <si>
    <t>inf</t>
  </si>
  <si>
    <t>checked</t>
  </si>
  <si>
    <t>supply</t>
  </si>
  <si>
    <t>room</t>
  </si>
  <si>
    <t>visitor</t>
  </si>
  <si>
    <t>meeting</t>
  </si>
  <si>
    <t>confidential</t>
  </si>
  <si>
    <t>presentation</t>
  </si>
  <si>
    <t>closed</t>
  </si>
  <si>
    <t>door</t>
  </si>
  <si>
    <t>computer</t>
  </si>
  <si>
    <t>INF.2 data center and server room</t>
  </si>
  <si>
    <t>center</t>
  </si>
  <si>
    <t>fire</t>
  </si>
  <si>
    <t>air</t>
  </si>
  <si>
    <t>infrastructure</t>
  </si>
  <si>
    <t>INF.3 Electrical wiring</t>
  </si>
  <si>
    <t>cabling</t>
  </si>
  <si>
    <t>cable</t>
  </si>
  <si>
    <t>power</t>
  </si>
  <si>
    <t>wiring</t>
  </si>
  <si>
    <t>damage</t>
  </si>
  <si>
    <t>connection</t>
  </si>
  <si>
    <t>socket</t>
  </si>
  <si>
    <t>INF.4 IT cabling</t>
  </si>
  <si>
    <t>beuth</t>
  </si>
  <si>
    <t>din</t>
  </si>
  <si>
    <t>listening</t>
  </si>
  <si>
    <t>INF.7 office workplace</t>
  </si>
  <si>
    <t>theft</t>
  </si>
  <si>
    <t>unfavorable</t>
  </si>
  <si>
    <t>INF.8 Domestic work place</t>
  </si>
  <si>
    <t>workplace</t>
  </si>
  <si>
    <t>home-based</t>
  </si>
  <si>
    <t>personnel</t>
  </si>
  <si>
    <t>regulation</t>
  </si>
  <si>
    <t>domestic</t>
  </si>
  <si>
    <t>INF.9 Mobile Workplace</t>
  </si>
  <si>
    <t>work</t>
  </si>
  <si>
    <t>ISMS.1 Security Management</t>
  </si>
  <si>
    <t>officer</t>
  </si>
  <si>
    <t>NET.1.1 network architecture and design</t>
  </si>
  <si>
    <t>net</t>
  </si>
  <si>
    <t>cloud</t>
  </si>
  <si>
    <t>separation</t>
  </si>
  <si>
    <t>specification</t>
  </si>
  <si>
    <t>filter</t>
  </si>
  <si>
    <t>design</t>
  </si>
  <si>
    <t>proxy</t>
  </si>
  <si>
    <t>NET.1.2 Network Management</t>
  </si>
  <si>
    <t>NET.2.1 WLAN operation</t>
  </si>
  <si>
    <t>wlan</t>
  </si>
  <si>
    <t>NET.2.2 Wi-Fi usage</t>
  </si>
  <si>
    <t>point</t>
  </si>
  <si>
    <t>ieee</t>
  </si>
  <si>
    <t>danger</t>
  </si>
  <si>
    <t>NET.3.1 routers and switches</t>
  </si>
  <si>
    <t>switch</t>
  </si>
  <si>
    <t>layer</t>
  </si>
  <si>
    <t>routing</t>
  </si>
  <si>
    <t>attack</t>
  </si>
  <si>
    <t>protocol</t>
  </si>
  <si>
    <t>NET.3.2 Firewall</t>
  </si>
  <si>
    <t>firewall</t>
  </si>
  <si>
    <t>untrusted</t>
  </si>
  <si>
    <t>NET.3.3 VPN</t>
  </si>
  <si>
    <t>vpn</t>
  </si>
  <si>
    <t>vpns</t>
  </si>
  <si>
    <t>OPS.1.1.2 Proper IT Administration</t>
  </si>
  <si>
    <t>task</t>
  </si>
  <si>
    <t>responsibility</t>
  </si>
  <si>
    <t>OPS.1.1.3 Patch and Change Management</t>
  </si>
  <si>
    <t>change</t>
  </si>
  <si>
    <t>patch</t>
  </si>
  <si>
    <t>tool</t>
  </si>
  <si>
    <t>ops</t>
  </si>
  <si>
    <t>distribute</t>
  </si>
  <si>
    <t>OPS.1.1.4 Protection against malicious programs</t>
  </si>
  <si>
    <t>virus</t>
  </si>
  <si>
    <t>support</t>
  </si>
  <si>
    <t>social</t>
  </si>
  <si>
    <t>external</t>
  </si>
  <si>
    <t>OPS.1.1.5 Logging</t>
  </si>
  <si>
    <t>logging</t>
  </si>
  <si>
    <t>relevant</t>
  </si>
  <si>
    <t>stored</t>
  </si>
  <si>
    <t>failure</t>
  </si>
  <si>
    <t>OPS.1.1.6 Software tests and releases</t>
  </si>
  <si>
    <t>test</t>
  </si>
  <si>
    <t>release</t>
  </si>
  <si>
    <t>productive</t>
  </si>
  <si>
    <t>production</t>
  </si>
  <si>
    <t>case</t>
  </si>
  <si>
    <t>OPS.1.2.2 Archiving</t>
  </si>
  <si>
    <t>medium</t>
  </si>
  <si>
    <t>archive</t>
  </si>
  <si>
    <t>archiving</t>
  </si>
  <si>
    <t>regular</t>
  </si>
  <si>
    <t>archived</t>
  </si>
  <si>
    <t>long-term</t>
  </si>
  <si>
    <t>OPS.1.2.3 Information and media exchange</t>
  </si>
  <si>
    <t>disk</t>
  </si>
  <si>
    <t>key</t>
  </si>
  <si>
    <t>OPS.1.2.4 Telework</t>
  </si>
  <si>
    <t>teleworker</t>
  </si>
  <si>
    <t>teleworking</t>
  </si>
  <si>
    <t>teleworkers</t>
  </si>
  <si>
    <t>teleworkstation</t>
  </si>
  <si>
    <t>guaranteed</t>
  </si>
  <si>
    <t>telework</t>
  </si>
  <si>
    <t>OPS.2.1 outsourcing for customers</t>
  </si>
  <si>
    <t>outsourcing</t>
  </si>
  <si>
    <t>provider</t>
  </si>
  <si>
    <t>project</t>
  </si>
  <si>
    <t>OPS.2.4 remote maintenance</t>
  </si>
  <si>
    <t>established</t>
  </si>
  <si>
    <t>OPS.3.1 Outsourcing for service providers</t>
  </si>
  <si>
    <t>customer</t>
  </si>
  <si>
    <t>partner</t>
  </si>
  <si>
    <t>inadequate</t>
  </si>
  <si>
    <t>loss</t>
  </si>
  <si>
    <t>ORP.1 organization</t>
  </si>
  <si>
    <t>organization</t>
  </si>
  <si>
    <t>orp</t>
  </si>
  <si>
    <t>ORP.2 Personal</t>
  </si>
  <si>
    <t>ORP.3 Sensitization and training</t>
  </si>
  <si>
    <t>awareness-raising</t>
  </si>
  <si>
    <t>knowledge</t>
  </si>
  <si>
    <t>ORP.4 Identity and Permission Management</t>
  </si>
  <si>
    <t>identity</t>
  </si>
  <si>
    <t>leader</t>
  </si>
  <si>
    <t xml:space="preserve">ORP.5 Compliance Management (Requirements Management) </t>
  </si>
  <si>
    <t>compliance</t>
  </si>
  <si>
    <t>legal</t>
  </si>
  <si>
    <t>law</t>
  </si>
  <si>
    <t>SYS.1.1 General Server</t>
  </si>
  <si>
    <t>SYS.1.2.2 Windows Server 2012</t>
  </si>
  <si>
    <t>sys</t>
  </si>
  <si>
    <t>SYS.1.3 server under Unix</t>
  </si>
  <si>
    <t>unix</t>
  </si>
  <si>
    <t>group</t>
  </si>
  <si>
    <t>SYS.1.5 Virtualization</t>
  </si>
  <si>
    <t>virtual</t>
  </si>
  <si>
    <t>virtualization</t>
  </si>
  <si>
    <t>configured</t>
  </si>
  <si>
    <t>SYS.1.8 Storage Solutions</t>
  </si>
  <si>
    <t>solution</t>
  </si>
  <si>
    <t>san</t>
  </si>
  <si>
    <t>SYS.2.1 General Client</t>
  </si>
  <si>
    <t>SYS.2.2.2 Clients under Windows 8.1</t>
  </si>
  <si>
    <t>window</t>
  </si>
  <si>
    <t>applocker</t>
  </si>
  <si>
    <t>SYS.2.2.3 Clients on Windows 10</t>
  </si>
  <si>
    <t>execution</t>
  </si>
  <si>
    <t>SYS.2.3 Clients under Unix</t>
  </si>
  <si>
    <t>distribution</t>
  </si>
  <si>
    <t>SYS.3.1 Laptops</t>
  </si>
  <si>
    <t>laptop</t>
  </si>
  <si>
    <t>synchronization</t>
  </si>
  <si>
    <t>SYS.3.2.1 General Smartphones and Tablets</t>
  </si>
  <si>
    <t xml:space="preserve">SYS.3.2.2 Mobile Device Management (MDM) </t>
  </si>
  <si>
    <t>apps</t>
  </si>
  <si>
    <t>mdm</t>
  </si>
  <si>
    <t>setting</t>
  </si>
  <si>
    <t xml:space="preserve">SYS.3.2.3 iOS (for Enterprise) </t>
  </si>
  <si>
    <t>apple</t>
  </si>
  <si>
    <t>code</t>
  </si>
  <si>
    <t>com/legal</t>
  </si>
  <si>
    <t>SYS.3.2.4 Android</t>
  </si>
  <si>
    <t>android</t>
  </si>
  <si>
    <t>google</t>
  </si>
  <si>
    <t>smartphones</t>
  </si>
  <si>
    <t>accessed</t>
  </si>
  <si>
    <t>SYS.3.4 Mobile Disk</t>
  </si>
  <si>
    <t>drive</t>
  </si>
  <si>
    <t>printer</t>
  </si>
  <si>
    <t>copier</t>
  </si>
  <si>
    <t>multifunction</t>
  </si>
  <si>
    <t>fuer-cybersicherheit</t>
  </si>
  <si>
    <t>regulated</t>
  </si>
  <si>
    <t>SYS.4.4 General IoT device</t>
  </si>
  <si>
    <t>iot</t>
  </si>
  <si>
    <t>camera</t>
  </si>
  <si>
    <t>monitoring</t>
  </si>
  <si>
    <t>INF.10 meeting, event and training rooms</t>
  </si>
  <si>
    <t>SYS.4.1 printers,  copiers and multifunction devices</t>
  </si>
  <si>
    <t>Spalte1</t>
  </si>
  <si>
    <t>Spalte2</t>
  </si>
  <si>
    <t>Bausteine</t>
  </si>
  <si>
    <t>Topic 1</t>
  </si>
  <si>
    <t>Topic 2</t>
  </si>
  <si>
    <t>Topic 3</t>
  </si>
  <si>
    <t>Topic 4</t>
  </si>
  <si>
    <t>Topic 5</t>
  </si>
  <si>
    <t>Topic 6</t>
  </si>
  <si>
    <t>Topic 7</t>
  </si>
  <si>
    <t>Topic 8</t>
  </si>
  <si>
    <t>Topic 9</t>
  </si>
  <si>
    <t>Topic 10</t>
  </si>
  <si>
    <t>Problem mit daten: ja</t>
  </si>
  <si>
    <t>50% ja:data; nein: access</t>
  </si>
  <si>
    <t>33,33% ja:data; nein:user, access</t>
  </si>
  <si>
    <t>50% nv:data</t>
  </si>
  <si>
    <t>33,33% nein: access; nv: data</t>
  </si>
  <si>
    <t>25% nein: access, user; nv: data</t>
  </si>
  <si>
    <t>50% nein: access;  nv: data, user</t>
  </si>
  <si>
    <t>75% ja:data; nein:user; access:nv</t>
  </si>
  <si>
    <t>75% ja:data; nein: access; nv:user</t>
  </si>
  <si>
    <t>50% nv: data, access; nein: user</t>
  </si>
  <si>
    <t>75% nv: data, access, user</t>
  </si>
  <si>
    <t>66,66% nv: data, access</t>
  </si>
  <si>
    <t xml:space="preserve">Problem user? </t>
  </si>
  <si>
    <t>nein</t>
  </si>
  <si>
    <t>Problem access?</t>
  </si>
  <si>
    <t>Problem employee?</t>
  </si>
  <si>
    <t>80% ja:data; nv:access, user; nein: employee</t>
  </si>
  <si>
    <t>80% nv: data, access, user, employee</t>
  </si>
  <si>
    <t>80% nv: data, access, user; nein: employee</t>
  </si>
  <si>
    <t>80% ja:data; nein:user; nv: access, employee</t>
  </si>
  <si>
    <t>80% ja:data; nein: access; nv:user, employee</t>
  </si>
  <si>
    <t>60% ja:data; nein: access, employee; nv:user</t>
  </si>
  <si>
    <t>50% nv: data, access, employee; nein: user</t>
  </si>
  <si>
    <t>40% nv: data, access;  nein: user, employee</t>
  </si>
  <si>
    <t>60% nein: access;  nv: data, user, employee</t>
  </si>
  <si>
    <t>40% nein: access, employee;  nv: data, user</t>
  </si>
  <si>
    <t>60% ja:data; nein:user, access nv: employee</t>
  </si>
  <si>
    <t>40% ja:data; nein:user, access, employee</t>
  </si>
  <si>
    <t>40% nein: access, user; nv: data, employee</t>
  </si>
  <si>
    <t>Problem secure?</t>
  </si>
  <si>
    <t>ja</t>
  </si>
  <si>
    <t>83% ja:data; nv:access, user, employee, secure</t>
  </si>
  <si>
    <t>66% ja:data; nv:access, user, secure; nein: employee</t>
  </si>
  <si>
    <t>66% nv: data, access, user, employee, secure</t>
  </si>
  <si>
    <t>83% nv: data, access, user, employee; ja: secure</t>
  </si>
  <si>
    <t>50% nv: data, access, user, secure; nein: employee</t>
  </si>
  <si>
    <t>66% ja:data; nein:user; nv: access, employee, secure</t>
  </si>
  <si>
    <t>vh: data, user secure nv: access, employee</t>
  </si>
  <si>
    <t xml:space="preserve">vh: data, access, secure; nv:user, employee </t>
  </si>
  <si>
    <t>vh: data, access; nv:user, employee, secure</t>
  </si>
  <si>
    <t>vh: data; nein: access, employee; nv:user, secure</t>
  </si>
  <si>
    <t xml:space="preserve">vh: data; nein: access, employee, secure; nv:user, </t>
  </si>
  <si>
    <t>vh: data; nein:user, access nv: employee, secure</t>
  </si>
  <si>
    <t>vh: access, user; nv: data, employee, secure</t>
  </si>
  <si>
    <t xml:space="preserve"> vh:data, user, access, employee; nv: secure</t>
  </si>
  <si>
    <t>vh: access, employee;  nv: data, user, secure</t>
  </si>
  <si>
    <t>nv: data, access, secure;  vh: user, employee</t>
  </si>
  <si>
    <t>nv: data, access, employee, secure; vh: user</t>
  </si>
  <si>
    <t xml:space="preserve">vh: access, user, secure; nv: data, employee, </t>
  </si>
  <si>
    <t>Problem microsoft?</t>
  </si>
  <si>
    <t xml:space="preserve">vh: data, secure, microsoft; nv: access, user, employee, </t>
  </si>
  <si>
    <t xml:space="preserve">vh: data, employee; nv:access, user, secure, microsoft; </t>
  </si>
  <si>
    <t>nv: data, access, user, employee , microsoft; vh: secure</t>
  </si>
  <si>
    <t>ja:data; nv:access, user, employee, secure, microsoft</t>
  </si>
  <si>
    <t>66% nv: data, access, user, employee, secure, microsoft</t>
  </si>
  <si>
    <t>vh: data, user secure nv: access, employee, microsoft</t>
  </si>
  <si>
    <t>nv: data, access, user, secure, microsoft; vh: employee</t>
  </si>
  <si>
    <t>vh:data, user; nv: access, employee, secure, microsoft</t>
  </si>
  <si>
    <t>vh: data, access, secure; nv:user, employee , microsoft</t>
  </si>
  <si>
    <t>vh: data, access; nv:user, employee, secure, microsoft</t>
  </si>
  <si>
    <t>vh: data; nein: access, employee, secure; nv:user, microsoft</t>
  </si>
  <si>
    <t>vh: data; nein: access, employee; nv:user, secure, microsoft</t>
  </si>
  <si>
    <t>60% nein: access;  nv: data, user, employee, microsoft</t>
  </si>
  <si>
    <t>vh: data; nein:user, access nv: employee, secure, microsoft</t>
  </si>
  <si>
    <t>nv: data, access, employee, secure; vh: user, microsoft</t>
  </si>
  <si>
    <t>nv: data, access, secure;  vh: user, employee, microsoft</t>
  </si>
  <si>
    <t>vh: access, employee;  nv: data, user, secure, microsoft</t>
  </si>
  <si>
    <t xml:space="preserve"> vh:data, user, access, employee; nv: secure, microsoft</t>
  </si>
  <si>
    <t>vh: access, user; nv: data, employee, secure, microsoft</t>
  </si>
  <si>
    <t>vh: access, user, secure; nv: data, employee, microsoft</t>
  </si>
  <si>
    <t>Problem network?</t>
  </si>
  <si>
    <t>vh: data, secure, network; nv: access, user, employee, microsoft</t>
  </si>
  <si>
    <t>vh: data, secure, microsoft; nv: access, user, employee, network</t>
  </si>
  <si>
    <t>vh:data, network; nv:access, user, employee, secure, microsoft</t>
  </si>
  <si>
    <t>nv: data, access, user, employee , microsoft; vh: secure, network</t>
  </si>
  <si>
    <t xml:space="preserve">vh: data, employee; nv:access, user, secure, microsoft, network </t>
  </si>
  <si>
    <t xml:space="preserve"> nv: data, access, user, employee, secure, microsoft, network</t>
  </si>
  <si>
    <t xml:space="preserve"> nv: data, access, user, employee, secure, microsoft; vh: network</t>
  </si>
  <si>
    <t>vh: data, user, secure, network nv: access, employee, microsoft</t>
  </si>
  <si>
    <t>nv: data, access, user, secure, microsoft, network; vh: employee</t>
  </si>
  <si>
    <t>vh:data, user; nv: access, employee, secure, microsoft, network</t>
  </si>
  <si>
    <t>vh: data, access, secure; nv:user, employee , microsoft, network</t>
  </si>
  <si>
    <t xml:space="preserve">vh: data, access, secure, network; nv:user, employee , microsoft, </t>
  </si>
  <si>
    <t>vh: data, access; nv:user, employee, secure, microsoft, network</t>
  </si>
  <si>
    <t xml:space="preserve">vh: data, access, network; nv:user, employee, secure, microsoft, </t>
  </si>
  <si>
    <t>vh: data; nein: access, employee, secure, network; nv:user, microsoft</t>
  </si>
  <si>
    <t>vh: data; nein: access, employee; nv:user, secure, microsoft, network</t>
  </si>
  <si>
    <t>vh: data; nein: access, employee, network; nv:user, secure, microsoft</t>
  </si>
  <si>
    <t>vh: access;  nv: data, user, employee, microsoft, network</t>
  </si>
  <si>
    <t xml:space="preserve">vh: access, network;  nv: data, user, employee, microsoft, </t>
  </si>
  <si>
    <t>nv: data, access, employee, secure, network ; vh: user, microsoft</t>
  </si>
  <si>
    <t>nv: data, access, secure, network;  vh: user, employee, microsoft</t>
  </si>
  <si>
    <t>vh: access, employee;  nv: data, user, secure, microsoft, network</t>
  </si>
  <si>
    <t xml:space="preserve"> vh:data, user, access, employee, network; nv: secure, microsoft</t>
  </si>
  <si>
    <t>vh: access, user; nv: data, employee, secure, microsoft, network</t>
  </si>
  <si>
    <t>vh: access, user, secure; nv: data, employee, microsoft, network</t>
  </si>
  <si>
    <t>6 richtige</t>
  </si>
  <si>
    <t>ja:data; nv:access, user, employee, secure, microsoft, network</t>
  </si>
  <si>
    <t>5 richtige</t>
  </si>
  <si>
    <t>Problem server?</t>
  </si>
  <si>
    <t>7richtige</t>
  </si>
  <si>
    <t>vh: data, user, secure nv: access, employee, microsoft, network</t>
  </si>
  <si>
    <t xml:space="preserve">5 richtige </t>
  </si>
  <si>
    <t>3 richtige</t>
  </si>
  <si>
    <t>4 richtige</t>
  </si>
  <si>
    <t>8 richtige</t>
  </si>
  <si>
    <t>7 richtige</t>
  </si>
  <si>
    <t>Problem institution?</t>
  </si>
  <si>
    <t>9 richtige</t>
  </si>
  <si>
    <t>Problem addition</t>
  </si>
  <si>
    <t>Problem customer</t>
  </si>
  <si>
    <t>10 richtige</t>
  </si>
  <si>
    <t>Problem planning</t>
  </si>
  <si>
    <t>11 richtige</t>
  </si>
  <si>
    <t>Problem Software?</t>
  </si>
  <si>
    <t>12 richtige</t>
  </si>
  <si>
    <t>Antwort ist richtig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</si>
</sst>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Font="1"/>
    <xf numFmtId="9" fontId="0" fillId="0" borderId="0" xfId="0" applyNumberFormat="1"/>
    <xf numFmtId="10" fontId="0" fillId="0" borderId="0" xfId="0" applyNumberFormat="1"/>
    <xf numFmtId="9" fontId="0" fillId="0" borderId="0" xfId="0" applyNumberFormat="1" applyAlignment="1">
      <alignment horizontal="left"/>
    </xf>
    <xf numFmtId="2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22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le5" displayName="Tabelle5" ref="A1:K81" totalsRowShown="0">
  <autoFilter ref="A1:K81" xr:uid="{00000000-0009-0000-0100-000005000000}"/>
  <tableColumns count="11">
    <tableColumn id="1" xr3:uid="{00000000-0010-0000-0000-000001000000}" name="Bausteine"/>
    <tableColumn id="2" xr3:uid="{00000000-0010-0000-0000-000002000000}" name="Topic 1"/>
    <tableColumn id="3" xr3:uid="{00000000-0010-0000-0000-000003000000}" name="Topic 2"/>
    <tableColumn id="4" xr3:uid="{00000000-0010-0000-0000-000004000000}" name="Topic 3"/>
    <tableColumn id="5" xr3:uid="{00000000-0010-0000-0000-000005000000}" name="Topic 4"/>
    <tableColumn id="6" xr3:uid="{00000000-0010-0000-0000-000006000000}" name="Topic 5"/>
    <tableColumn id="7" xr3:uid="{00000000-0010-0000-0000-000007000000}" name="Topic 6"/>
    <tableColumn id="8" xr3:uid="{00000000-0010-0000-0000-000008000000}" name="Topic 7"/>
    <tableColumn id="9" xr3:uid="{00000000-0010-0000-0000-000009000000}" name="Topic 8"/>
    <tableColumn id="10" xr3:uid="{00000000-0010-0000-0000-00000A000000}" name="Topic 9"/>
    <tableColumn id="11" xr3:uid="{00000000-0010-0000-0000-00000B000000}" name="Topic 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EE34E40-21D2-493C-B9DC-A714FBAF2DCC}" name="Tabelle14" displayName="Tabelle14" ref="A1:B27" totalsRowShown="0">
  <autoFilter ref="A1:B27" xr:uid="{C3B9E9B6-6504-48EB-8DC2-CA124ED9BC6A}"/>
  <sortState ref="A2:B27">
    <sortCondition descending="1" ref="B1:B27"/>
  </sortState>
  <tableColumns count="2">
    <tableColumn id="1" xr3:uid="{D7041AC5-93DF-4A70-81FA-9D1F425ED09F}" name="Spalte1"/>
    <tableColumn id="2" xr3:uid="{681813EE-7EBC-44FF-9DF3-C564ECD0BA36}" name="Spalte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F9BDE1D-E9D8-4F0B-B576-62E7F5EC2E14}" name="Tabelle13" displayName="Tabelle13" ref="A1:B40" totalsRowShown="0">
  <autoFilter ref="A1:B40" xr:uid="{64148861-18EA-4DF4-8FF3-1A8A89814FA5}"/>
  <sortState ref="A2:B40">
    <sortCondition descending="1" ref="B1:B40"/>
  </sortState>
  <tableColumns count="2">
    <tableColumn id="1" xr3:uid="{AE15A9CA-F72C-440A-8921-8912145825D6}" name="Spalte1"/>
    <tableColumn id="2" xr3:uid="{DAA51D60-EE6C-4B9D-B623-7A1B5AAC293D}" name="Spalte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23BBFB0-1A16-48CF-AA18-1903BFE8E43A}" name="Tabelle12" displayName="Tabelle12" ref="A1:B48" totalsRowShown="0">
  <autoFilter ref="A1:B48" xr:uid="{1781C772-72DE-4DEB-BCDB-8B4C1F29E668}"/>
  <sortState ref="A2:B48">
    <sortCondition descending="1" ref="B1:B48"/>
  </sortState>
  <tableColumns count="2">
    <tableColumn id="1" xr3:uid="{36884B9A-FBC7-4CBE-AA58-86B7F2423ECD}" name="Spalte1"/>
    <tableColumn id="2" xr3:uid="{61C6F7D7-DC28-4237-AAB1-66590A49C500}" name="Spalte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2148C4B-FED8-467B-B966-9BB646EC6C97}" name="Tabelle10" displayName="Tabelle10" ref="A1:B79" totalsRowShown="0">
  <autoFilter ref="A1:B79" xr:uid="{D7281501-6631-47AC-86C4-E9F6F4C822FC}"/>
  <sortState ref="A2:B79">
    <sortCondition descending="1" ref="B1:B79"/>
  </sortState>
  <tableColumns count="2">
    <tableColumn id="1" xr3:uid="{F29FDA45-30EA-4E71-B3A6-FA8DEAEA5133}" name="Spalte1"/>
    <tableColumn id="2" xr3:uid="{92C8804A-A52B-4FE4-B3E1-DF87FE688B58}" name="Spalte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908E21-1B8B-4ED8-95DB-2F3A45C93216}" name="Tabelle11" displayName="Tabelle11" ref="A1:B62" totalsRowShown="0">
  <autoFilter ref="A1:B62" xr:uid="{85415955-F353-48DB-9536-55838CC84339}"/>
  <sortState ref="A2:B62">
    <sortCondition descending="1" ref="B1:B62"/>
  </sortState>
  <tableColumns count="2">
    <tableColumn id="1" xr3:uid="{A2ECDA69-09A0-4E3C-AA2F-9B688F7742EA}" name="Spalte1"/>
    <tableColumn id="2" xr3:uid="{A4FD52D9-6D92-4BBB-B677-656D90CD278A}" name="Spalte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3F5A3A-374B-4583-B05E-03F892032537}" name="Tabelle9" displayName="Tabelle9" ref="A1:B1048576" totalsRowShown="0">
  <autoFilter ref="A1:B1048576" xr:uid="{C6DA238D-1A74-4492-B3A3-457EB1843CB5}"/>
  <sortState ref="A2:B1048576">
    <sortCondition descending="1" ref="B1:B1048576"/>
  </sortState>
  <tableColumns count="2">
    <tableColumn id="1" xr3:uid="{7B9666B5-2BDF-4ACB-85E2-758D8A0F49AB}" name="Spalte1"/>
    <tableColumn id="2" xr3:uid="{476C4353-6FFF-462F-A9AC-814061720598}" name="Spalte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7773A1-42A7-4250-BB8F-2C5965DE4872}" name="Tabelle4" displayName="Tabelle4" ref="A1:B25" totalsRowShown="0">
  <autoFilter ref="A1:B25" xr:uid="{5EBC946B-81A9-4992-A452-128B253199F3}"/>
  <sortState ref="A2:B25">
    <sortCondition descending="1" ref="B1:B25"/>
  </sortState>
  <tableColumns count="2">
    <tableColumn id="1" xr3:uid="{40DFB87E-9BF5-4ED4-B894-F96AC483C841}" name="Spalte1"/>
    <tableColumn id="2" xr3:uid="{9FC1FD67-C1D0-43B3-9BC3-88F18EE273E3}" name="Spalte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elle7" displayName="Tabelle7" ref="A1:B93" totalsRowShown="0">
  <autoFilter ref="A1:B93" xr:uid="{00000000-0009-0000-0100-000007000000}"/>
  <sortState ref="A2:B93">
    <sortCondition descending="1" ref="B1:B93"/>
  </sortState>
  <tableColumns count="2">
    <tableColumn id="1" xr3:uid="{00000000-0010-0000-0100-000001000000}" name="Spalte1"/>
    <tableColumn id="2" xr3:uid="{00000000-0010-0000-0100-000002000000}" name="Spalte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elle6" displayName="Tabelle6" ref="A1:B109" totalsRowShown="0">
  <autoFilter ref="A1:B109" xr:uid="{00000000-0009-0000-0100-000006000000}"/>
  <sortState ref="A2:B109">
    <sortCondition descending="1" ref="B1:B109"/>
  </sortState>
  <tableColumns count="2">
    <tableColumn id="1" xr3:uid="{00000000-0010-0000-0200-000001000000}" name="Spalte1"/>
    <tableColumn id="2" xr3:uid="{00000000-0010-0000-0200-000002000000}" name="Spalte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elle3" displayName="Tabelle3" ref="A1:B131" totalsRowShown="0">
  <autoFilter ref="A1:B131" xr:uid="{00000000-0009-0000-0100-000003000000}"/>
  <sortState ref="A2:B131">
    <sortCondition descending="1" ref="B1:B131"/>
  </sortState>
  <tableColumns count="2">
    <tableColumn id="1" xr3:uid="{00000000-0010-0000-0300-000001000000}" name="Spalte1"/>
    <tableColumn id="2" xr3:uid="{00000000-0010-0000-0300-000002000000}" name="Spalte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le2" displayName="Tabelle2" ref="A1:B184" totalsRowShown="0">
  <autoFilter ref="A1:B184" xr:uid="{00000000-0009-0000-0100-000002000000}"/>
  <sortState ref="A2:B184">
    <sortCondition descending="1" ref="B1:B184"/>
  </sortState>
  <tableColumns count="2">
    <tableColumn id="1" xr3:uid="{00000000-0010-0000-0400-000001000000}" name="Spalte1"/>
    <tableColumn id="2" xr3:uid="{00000000-0010-0000-0400-000002000000}" name="Spalte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elle1" displayName="Tabelle1" ref="A1:B314" totalsRowShown="0">
  <autoFilter ref="A1:B314" xr:uid="{00000000-0009-0000-0100-000001000000}"/>
  <sortState ref="A2:B314">
    <sortCondition descending="1" ref="B1:B314"/>
  </sortState>
  <tableColumns count="2">
    <tableColumn id="1" xr3:uid="{00000000-0010-0000-0500-000001000000}" name="Spalte1"/>
    <tableColumn id="2" xr3:uid="{00000000-0010-0000-0500-000002000000}" name="Spalte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O136"/>
  <sheetViews>
    <sheetView tabSelected="1" topLeftCell="FS1" zoomScaleNormal="100" workbookViewId="0">
      <selection activeCell="GD13" sqref="GD13"/>
    </sheetView>
  </sheetViews>
  <sheetFormatPr baseColWidth="10" defaultRowHeight="15" x14ac:dyDescent="0.25"/>
  <cols>
    <col min="1" max="1" width="57.5703125" bestFit="1" customWidth="1"/>
    <col min="2" max="2" width="13" bestFit="1" customWidth="1"/>
    <col min="3" max="3" width="12.7109375" bestFit="1" customWidth="1"/>
    <col min="4" max="4" width="21.85546875" bestFit="1" customWidth="1"/>
    <col min="5" max="5" width="13.85546875" bestFit="1" customWidth="1"/>
    <col min="6" max="6" width="14.7109375" bestFit="1" customWidth="1"/>
    <col min="7" max="7" width="15.140625" bestFit="1" customWidth="1"/>
    <col min="8" max="8" width="17.140625" bestFit="1" customWidth="1"/>
    <col min="9" max="9" width="14.7109375" bestFit="1" customWidth="1"/>
    <col min="10" max="10" width="15" bestFit="1" customWidth="1"/>
    <col min="11" max="11" width="19.28515625" bestFit="1" customWidth="1"/>
    <col min="12" max="12" width="9.5703125" bestFit="1" customWidth="1"/>
    <col min="25" max="25" width="52.42578125" bestFit="1" customWidth="1"/>
    <col min="26" max="27" width="12.7109375" bestFit="1" customWidth="1"/>
    <col min="28" max="28" width="13.140625" bestFit="1" customWidth="1"/>
    <col min="29" max="29" width="12.85546875" bestFit="1" customWidth="1"/>
    <col min="30" max="30" width="14.7109375" bestFit="1" customWidth="1"/>
    <col min="31" max="31" width="15.140625" bestFit="1" customWidth="1"/>
    <col min="32" max="33" width="14.7109375" bestFit="1" customWidth="1"/>
    <col min="34" max="34" width="15" bestFit="1" customWidth="1"/>
    <col min="35" max="35" width="14" bestFit="1" customWidth="1"/>
    <col min="39" max="39" width="52.42578125" bestFit="1" customWidth="1"/>
    <col min="53" max="53" width="52.42578125" bestFit="1" customWidth="1"/>
    <col min="67" max="67" width="52.42578125" bestFit="1" customWidth="1"/>
    <col min="81" max="81" width="52.42578125" bestFit="1" customWidth="1"/>
    <col min="95" max="95" width="57.5703125" bestFit="1" customWidth="1"/>
    <col min="109" max="109" width="50.85546875" bestFit="1" customWidth="1"/>
    <col min="122" max="122" width="52.42578125" bestFit="1" customWidth="1"/>
    <col min="133" max="133" width="19.42578125" bestFit="1" customWidth="1"/>
    <col min="134" max="134" width="9.140625" bestFit="1" customWidth="1"/>
    <col min="135" max="135" width="52.42578125" bestFit="1" customWidth="1"/>
    <col min="146" max="146" width="19.42578125" bestFit="1" customWidth="1"/>
    <col min="148" max="148" width="52.42578125" bestFit="1" customWidth="1"/>
    <col min="158" max="158" width="14" bestFit="1" customWidth="1"/>
    <col min="159" max="159" width="17.42578125" bestFit="1" customWidth="1"/>
    <col min="161" max="161" width="52.42578125" bestFit="1" customWidth="1"/>
    <col min="172" max="172" width="16.28515625" bestFit="1" customWidth="1"/>
    <col min="174" max="174" width="52.42578125" bestFit="1" customWidth="1"/>
    <col min="184" max="184" width="14" bestFit="1" customWidth="1"/>
    <col min="185" max="185" width="18.140625" bestFit="1" customWidth="1"/>
    <col min="186" max="186" width="17" bestFit="1" customWidth="1"/>
    <col min="187" max="187" width="52.42578125" bestFit="1" customWidth="1"/>
  </cols>
  <sheetData>
    <row r="1" spans="1:197" x14ac:dyDescent="0.25">
      <c r="A1" t="s">
        <v>395</v>
      </c>
      <c r="B1" t="s">
        <v>396</v>
      </c>
      <c r="C1" t="s">
        <v>397</v>
      </c>
      <c r="D1" t="s">
        <v>398</v>
      </c>
      <c r="E1" t="s">
        <v>399</v>
      </c>
      <c r="F1" t="s">
        <v>400</v>
      </c>
      <c r="G1" t="s">
        <v>401</v>
      </c>
      <c r="H1" t="s">
        <v>402</v>
      </c>
      <c r="I1" t="s">
        <v>403</v>
      </c>
      <c r="J1" t="s">
        <v>404</v>
      </c>
      <c r="K1" t="s">
        <v>405</v>
      </c>
      <c r="N1" t="s">
        <v>396</v>
      </c>
      <c r="O1" t="s">
        <v>397</v>
      </c>
      <c r="P1" t="s">
        <v>398</v>
      </c>
      <c r="Q1" t="s">
        <v>399</v>
      </c>
      <c r="R1" t="s">
        <v>400</v>
      </c>
      <c r="S1" t="s">
        <v>401</v>
      </c>
      <c r="T1" t="s">
        <v>402</v>
      </c>
      <c r="U1" t="s">
        <v>403</v>
      </c>
      <c r="V1" t="s">
        <v>404</v>
      </c>
      <c r="W1" t="s">
        <v>405</v>
      </c>
      <c r="Y1" t="s">
        <v>395</v>
      </c>
      <c r="Z1" t="s">
        <v>396</v>
      </c>
      <c r="AA1" t="s">
        <v>397</v>
      </c>
      <c r="AB1" t="s">
        <v>398</v>
      </c>
      <c r="AC1" t="s">
        <v>399</v>
      </c>
      <c r="AD1" t="s">
        <v>400</v>
      </c>
      <c r="AE1" t="s">
        <v>401</v>
      </c>
      <c r="AF1" t="s">
        <v>402</v>
      </c>
      <c r="AG1" t="s">
        <v>403</v>
      </c>
      <c r="AH1" t="s">
        <v>404</v>
      </c>
      <c r="AI1" t="s">
        <v>405</v>
      </c>
      <c r="AM1" t="s">
        <v>395</v>
      </c>
      <c r="AN1" t="s">
        <v>396</v>
      </c>
      <c r="AO1" t="s">
        <v>397</v>
      </c>
      <c r="AP1" t="s">
        <v>398</v>
      </c>
      <c r="AQ1" t="s">
        <v>399</v>
      </c>
      <c r="AR1" t="s">
        <v>400</v>
      </c>
      <c r="AS1" t="s">
        <v>401</v>
      </c>
      <c r="AT1" t="s">
        <v>402</v>
      </c>
      <c r="AU1" t="s">
        <v>403</v>
      </c>
      <c r="AV1" t="s">
        <v>404</v>
      </c>
      <c r="AW1" t="s">
        <v>405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O1" t="s">
        <v>395</v>
      </c>
      <c r="BP1" t="s">
        <v>396</v>
      </c>
      <c r="BQ1" t="s">
        <v>397</v>
      </c>
      <c r="BR1" t="s">
        <v>398</v>
      </c>
      <c r="BS1" t="s">
        <v>399</v>
      </c>
      <c r="BT1" t="s">
        <v>400</v>
      </c>
      <c r="BU1" t="s">
        <v>401</v>
      </c>
      <c r="BV1" t="s">
        <v>402</v>
      </c>
      <c r="BW1" t="s">
        <v>403</v>
      </c>
      <c r="BX1" t="s">
        <v>404</v>
      </c>
      <c r="BY1" t="s">
        <v>405</v>
      </c>
      <c r="CC1" t="s">
        <v>395</v>
      </c>
      <c r="CD1" t="s">
        <v>396</v>
      </c>
      <c r="CE1" t="s">
        <v>397</v>
      </c>
      <c r="CF1" t="s">
        <v>398</v>
      </c>
      <c r="CG1" t="s">
        <v>399</v>
      </c>
      <c r="CH1" t="s">
        <v>400</v>
      </c>
      <c r="CI1" t="s">
        <v>401</v>
      </c>
      <c r="CJ1" t="s">
        <v>402</v>
      </c>
      <c r="CK1" t="s">
        <v>403</v>
      </c>
      <c r="CL1" t="s">
        <v>404</v>
      </c>
      <c r="CM1" t="s">
        <v>405</v>
      </c>
      <c r="CQ1" t="s">
        <v>395</v>
      </c>
      <c r="CR1" t="s">
        <v>396</v>
      </c>
      <c r="CS1" t="s">
        <v>397</v>
      </c>
      <c r="CT1" t="s">
        <v>398</v>
      </c>
      <c r="CU1" t="s">
        <v>399</v>
      </c>
      <c r="CV1" t="s">
        <v>400</v>
      </c>
      <c r="CW1" t="s">
        <v>401</v>
      </c>
      <c r="CX1" t="s">
        <v>402</v>
      </c>
      <c r="CY1" t="s">
        <v>403</v>
      </c>
      <c r="CZ1" t="s">
        <v>404</v>
      </c>
      <c r="DA1" t="s">
        <v>405</v>
      </c>
      <c r="DD1" t="s">
        <v>502</v>
      </c>
      <c r="DE1" t="s">
        <v>395</v>
      </c>
      <c r="DF1" t="s">
        <v>396</v>
      </c>
      <c r="DG1" t="s">
        <v>397</v>
      </c>
      <c r="DH1" t="s">
        <v>398</v>
      </c>
      <c r="DI1" t="s">
        <v>399</v>
      </c>
      <c r="DJ1" t="s">
        <v>400</v>
      </c>
      <c r="DK1" t="s">
        <v>401</v>
      </c>
      <c r="DL1" t="s">
        <v>402</v>
      </c>
      <c r="DM1" t="s">
        <v>403</v>
      </c>
      <c r="DN1" t="s">
        <v>404</v>
      </c>
      <c r="DO1" t="s">
        <v>405</v>
      </c>
      <c r="DR1" t="s">
        <v>395</v>
      </c>
      <c r="DS1" t="s">
        <v>396</v>
      </c>
      <c r="DT1" t="s">
        <v>397</v>
      </c>
      <c r="DU1" t="s">
        <v>398</v>
      </c>
      <c r="DV1" t="s">
        <v>399</v>
      </c>
      <c r="DW1" t="s">
        <v>400</v>
      </c>
      <c r="DX1" t="s">
        <v>401</v>
      </c>
      <c r="DY1" t="s">
        <v>402</v>
      </c>
      <c r="DZ1" t="s">
        <v>403</v>
      </c>
      <c r="EA1" t="s">
        <v>404</v>
      </c>
      <c r="EB1" t="s">
        <v>405</v>
      </c>
      <c r="EE1" t="s">
        <v>395</v>
      </c>
      <c r="EF1" t="s">
        <v>396</v>
      </c>
      <c r="EG1" t="s">
        <v>397</v>
      </c>
      <c r="EH1" t="s">
        <v>398</v>
      </c>
      <c r="EI1" t="s">
        <v>399</v>
      </c>
      <c r="EJ1" t="s">
        <v>400</v>
      </c>
      <c r="EK1" t="s">
        <v>401</v>
      </c>
      <c r="EL1" t="s">
        <v>402</v>
      </c>
      <c r="EM1" t="s">
        <v>403</v>
      </c>
      <c r="EN1" t="s">
        <v>404</v>
      </c>
      <c r="EO1" t="s">
        <v>405</v>
      </c>
      <c r="ER1" t="s">
        <v>395</v>
      </c>
      <c r="ES1" t="s">
        <v>396</v>
      </c>
      <c r="ET1" t="s">
        <v>397</v>
      </c>
      <c r="EU1" t="s">
        <v>398</v>
      </c>
      <c r="EV1" t="s">
        <v>399</v>
      </c>
      <c r="EW1" t="s">
        <v>400</v>
      </c>
      <c r="EX1" t="s">
        <v>401</v>
      </c>
      <c r="EY1" t="s">
        <v>402</v>
      </c>
      <c r="EZ1" t="s">
        <v>403</v>
      </c>
      <c r="FA1" t="s">
        <v>404</v>
      </c>
      <c r="FB1" t="s">
        <v>405</v>
      </c>
      <c r="FE1" t="s">
        <v>395</v>
      </c>
      <c r="FF1" t="s">
        <v>396</v>
      </c>
      <c r="FG1" t="s">
        <v>397</v>
      </c>
      <c r="FH1" t="s">
        <v>398</v>
      </c>
      <c r="FI1" t="s">
        <v>399</v>
      </c>
      <c r="FJ1" t="s">
        <v>400</v>
      </c>
      <c r="FK1" t="s">
        <v>401</v>
      </c>
      <c r="FL1" t="s">
        <v>402</v>
      </c>
      <c r="FM1" t="s">
        <v>403</v>
      </c>
      <c r="FN1" t="s">
        <v>404</v>
      </c>
      <c r="FO1" t="s">
        <v>405</v>
      </c>
      <c r="FR1" t="s">
        <v>395</v>
      </c>
      <c r="FS1" t="s">
        <v>396</v>
      </c>
      <c r="FT1" t="s">
        <v>397</v>
      </c>
      <c r="FU1" t="s">
        <v>398</v>
      </c>
      <c r="FV1" t="s">
        <v>399</v>
      </c>
      <c r="FW1" t="s">
        <v>400</v>
      </c>
      <c r="FX1" t="s">
        <v>401</v>
      </c>
      <c r="FY1" t="s">
        <v>402</v>
      </c>
      <c r="FZ1" t="s">
        <v>403</v>
      </c>
      <c r="GA1" t="s">
        <v>404</v>
      </c>
      <c r="GB1" t="s">
        <v>405</v>
      </c>
      <c r="GE1" t="s">
        <v>395</v>
      </c>
      <c r="GF1" t="s">
        <v>396</v>
      </c>
      <c r="GG1" t="s">
        <v>397</v>
      </c>
      <c r="GH1" t="s">
        <v>398</v>
      </c>
      <c r="GI1" t="s">
        <v>399</v>
      </c>
      <c r="GJ1" t="s">
        <v>400</v>
      </c>
      <c r="GK1" t="s">
        <v>401</v>
      </c>
      <c r="GL1" t="s">
        <v>402</v>
      </c>
      <c r="GM1" t="s">
        <v>403</v>
      </c>
      <c r="GN1" t="s">
        <v>404</v>
      </c>
      <c r="GO1" t="s">
        <v>405</v>
      </c>
    </row>
    <row r="2" spans="1:19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N2" t="s">
        <v>26</v>
      </c>
      <c r="Y2" s="2">
        <v>1</v>
      </c>
      <c r="AM2" s="4">
        <v>1</v>
      </c>
      <c r="BA2" s="4">
        <v>1</v>
      </c>
      <c r="BO2" s="4">
        <v>1</v>
      </c>
      <c r="CC2" s="4">
        <v>1</v>
      </c>
      <c r="CQ2" s="4">
        <v>1</v>
      </c>
      <c r="DD2" s="5">
        <f>7/8*100</f>
        <v>87.5</v>
      </c>
      <c r="DE2" t="s">
        <v>477</v>
      </c>
      <c r="DQ2" t="s">
        <v>506</v>
      </c>
    </row>
    <row r="3" spans="1:197" x14ac:dyDescent="0.25">
      <c r="A3" t="s">
        <v>11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 t="s">
        <v>20</v>
      </c>
      <c r="K3" t="s">
        <v>21</v>
      </c>
      <c r="O3" t="s">
        <v>26</v>
      </c>
      <c r="Y3" t="s">
        <v>22</v>
      </c>
      <c r="Z3" t="s">
        <v>23</v>
      </c>
      <c r="AA3" t="s">
        <v>24</v>
      </c>
      <c r="AB3" t="s">
        <v>25</v>
      </c>
      <c r="AC3" t="s">
        <v>26</v>
      </c>
      <c r="AD3" t="s">
        <v>27</v>
      </c>
      <c r="AE3" t="s">
        <v>28</v>
      </c>
      <c r="AF3" t="s">
        <v>29</v>
      </c>
      <c r="AG3" t="s">
        <v>30</v>
      </c>
      <c r="AH3" t="s">
        <v>31</v>
      </c>
      <c r="AI3" t="s">
        <v>32</v>
      </c>
      <c r="AM3" t="s">
        <v>45</v>
      </c>
      <c r="AN3" t="s">
        <v>13</v>
      </c>
      <c r="AO3" t="s">
        <v>29</v>
      </c>
      <c r="AP3" t="s">
        <v>46</v>
      </c>
      <c r="AQ3" t="s">
        <v>39</v>
      </c>
      <c r="AR3" t="s">
        <v>26</v>
      </c>
      <c r="AS3" t="s">
        <v>18</v>
      </c>
      <c r="AT3" t="s">
        <v>47</v>
      </c>
      <c r="AU3" t="s">
        <v>48</v>
      </c>
      <c r="AV3" t="s">
        <v>28</v>
      </c>
      <c r="AW3" t="s">
        <v>49</v>
      </c>
      <c r="BA3" t="s">
        <v>45</v>
      </c>
      <c r="BB3" t="s">
        <v>13</v>
      </c>
      <c r="BC3" t="s">
        <v>29</v>
      </c>
      <c r="BD3" t="s">
        <v>46</v>
      </c>
      <c r="BE3" t="s">
        <v>39</v>
      </c>
      <c r="BF3" t="s">
        <v>26</v>
      </c>
      <c r="BG3" t="s">
        <v>18</v>
      </c>
      <c r="BH3" t="s">
        <v>47</v>
      </c>
      <c r="BI3" t="s">
        <v>48</v>
      </c>
      <c r="BJ3" t="s">
        <v>28</v>
      </c>
      <c r="BK3" t="s">
        <v>49</v>
      </c>
      <c r="BO3" t="s">
        <v>45</v>
      </c>
      <c r="BP3" t="s">
        <v>13</v>
      </c>
      <c r="BQ3" t="s">
        <v>29</v>
      </c>
      <c r="BR3" t="s">
        <v>46</v>
      </c>
      <c r="BS3" t="s">
        <v>39</v>
      </c>
      <c r="BT3" t="s">
        <v>26</v>
      </c>
      <c r="BU3" t="s">
        <v>18</v>
      </c>
      <c r="BV3" t="s">
        <v>47</v>
      </c>
      <c r="BW3" t="s">
        <v>48</v>
      </c>
      <c r="BX3" t="s">
        <v>28</v>
      </c>
      <c r="BY3" t="s">
        <v>49</v>
      </c>
      <c r="CC3" t="s">
        <v>82</v>
      </c>
      <c r="CD3" t="s">
        <v>83</v>
      </c>
      <c r="CE3" t="s">
        <v>84</v>
      </c>
      <c r="CF3" t="s">
        <v>85</v>
      </c>
      <c r="CG3" t="s">
        <v>86</v>
      </c>
      <c r="CH3" t="s">
        <v>43</v>
      </c>
      <c r="CI3" t="s">
        <v>87</v>
      </c>
      <c r="CJ3" t="s">
        <v>88</v>
      </c>
      <c r="CK3" t="s">
        <v>62</v>
      </c>
      <c r="CL3" t="s">
        <v>26</v>
      </c>
      <c r="CM3" t="s">
        <v>8</v>
      </c>
      <c r="CQ3" t="s">
        <v>387</v>
      </c>
      <c r="CR3" t="s">
        <v>388</v>
      </c>
      <c r="CS3" t="s">
        <v>132</v>
      </c>
      <c r="CT3" t="s">
        <v>188</v>
      </c>
      <c r="CU3" t="s">
        <v>139</v>
      </c>
      <c r="CV3" t="s">
        <v>26</v>
      </c>
      <c r="CW3" t="s">
        <v>389</v>
      </c>
      <c r="CX3" t="s">
        <v>62</v>
      </c>
      <c r="CY3" t="s">
        <v>182</v>
      </c>
      <c r="CZ3" t="s">
        <v>25</v>
      </c>
      <c r="DA3" t="s">
        <v>390</v>
      </c>
      <c r="DE3" t="s">
        <v>387</v>
      </c>
      <c r="DF3" t="s">
        <v>388</v>
      </c>
      <c r="DG3" t="s">
        <v>132</v>
      </c>
      <c r="DH3" t="s">
        <v>188</v>
      </c>
      <c r="DI3" t="s">
        <v>139</v>
      </c>
      <c r="DJ3" t="s">
        <v>26</v>
      </c>
      <c r="DK3" t="s">
        <v>389</v>
      </c>
      <c r="DL3" t="s">
        <v>62</v>
      </c>
      <c r="DM3" t="s">
        <v>182</v>
      </c>
      <c r="DN3" t="s">
        <v>25</v>
      </c>
      <c r="DO3" t="s">
        <v>390</v>
      </c>
      <c r="DQ3">
        <f>8/9*100</f>
        <v>88.888888888888886</v>
      </c>
      <c r="DR3" t="s">
        <v>387</v>
      </c>
      <c r="DS3" t="s">
        <v>388</v>
      </c>
      <c r="DT3" t="s">
        <v>132</v>
      </c>
      <c r="DU3" t="s">
        <v>188</v>
      </c>
      <c r="DV3" t="s">
        <v>139</v>
      </c>
      <c r="DW3" t="s">
        <v>26</v>
      </c>
      <c r="DX3" t="s">
        <v>389</v>
      </c>
      <c r="DY3" t="s">
        <v>62</v>
      </c>
      <c r="DZ3" t="s">
        <v>182</v>
      </c>
      <c r="EA3" t="s">
        <v>25</v>
      </c>
      <c r="EB3" t="s">
        <v>390</v>
      </c>
      <c r="ED3" t="s">
        <v>511</v>
      </c>
      <c r="EE3" t="s">
        <v>387</v>
      </c>
      <c r="EF3" t="s">
        <v>388</v>
      </c>
      <c r="EG3" t="s">
        <v>132</v>
      </c>
      <c r="EH3" t="s">
        <v>188</v>
      </c>
      <c r="EI3" t="s">
        <v>139</v>
      </c>
      <c r="EJ3" t="s">
        <v>26</v>
      </c>
      <c r="EK3" t="s">
        <v>389</v>
      </c>
      <c r="EL3" t="s">
        <v>62</v>
      </c>
      <c r="EM3" t="s">
        <v>182</v>
      </c>
      <c r="EN3" t="s">
        <v>25</v>
      </c>
      <c r="EO3" t="s">
        <v>390</v>
      </c>
      <c r="EQ3" t="s">
        <v>514</v>
      </c>
      <c r="ER3" t="s">
        <v>387</v>
      </c>
      <c r="ES3" t="s">
        <v>388</v>
      </c>
      <c r="ET3" t="s">
        <v>132</v>
      </c>
      <c r="EU3" t="s">
        <v>188</v>
      </c>
      <c r="EV3" t="s">
        <v>139</v>
      </c>
      <c r="EW3" t="s">
        <v>26</v>
      </c>
      <c r="EX3" t="s">
        <v>389</v>
      </c>
      <c r="EY3" t="s">
        <v>62</v>
      </c>
      <c r="EZ3" t="s">
        <v>182</v>
      </c>
      <c r="FA3" t="s">
        <v>25</v>
      </c>
      <c r="FB3" t="s">
        <v>390</v>
      </c>
      <c r="FD3" t="s">
        <v>517</v>
      </c>
      <c r="FE3" t="s">
        <v>387</v>
      </c>
      <c r="FF3" t="s">
        <v>388</v>
      </c>
      <c r="FG3" t="s">
        <v>132</v>
      </c>
      <c r="FH3" t="s">
        <v>188</v>
      </c>
      <c r="FI3" t="s">
        <v>139</v>
      </c>
      <c r="FJ3" t="s">
        <v>26</v>
      </c>
      <c r="FK3" t="s">
        <v>389</v>
      </c>
      <c r="FL3" t="s">
        <v>62</v>
      </c>
      <c r="FM3" t="s">
        <v>182</v>
      </c>
      <c r="FN3" t="s">
        <v>25</v>
      </c>
      <c r="FO3" t="s">
        <v>390</v>
      </c>
      <c r="FQ3" t="s">
        <v>519</v>
      </c>
      <c r="FR3" t="s">
        <v>82</v>
      </c>
      <c r="FS3" t="s">
        <v>83</v>
      </c>
      <c r="FT3" t="s">
        <v>84</v>
      </c>
      <c r="FU3" t="s">
        <v>85</v>
      </c>
      <c r="FV3" t="s">
        <v>86</v>
      </c>
      <c r="FW3" t="s">
        <v>43</v>
      </c>
      <c r="FX3" t="s">
        <v>87</v>
      </c>
      <c r="FY3" t="s">
        <v>88</v>
      </c>
      <c r="FZ3" t="s">
        <v>62</v>
      </c>
      <c r="GA3" t="s">
        <v>26</v>
      </c>
      <c r="GB3" t="s">
        <v>8</v>
      </c>
      <c r="GD3" t="s">
        <v>521</v>
      </c>
      <c r="GE3" t="s">
        <v>284</v>
      </c>
      <c r="GF3" t="s">
        <v>57</v>
      </c>
      <c r="GG3" t="s">
        <v>56</v>
      </c>
      <c r="GH3" t="s">
        <v>285</v>
      </c>
      <c r="GI3" t="s">
        <v>2</v>
      </c>
      <c r="GJ3" t="s">
        <v>175</v>
      </c>
      <c r="GK3" t="s">
        <v>286</v>
      </c>
      <c r="GL3" t="s">
        <v>287</v>
      </c>
      <c r="GM3" t="s">
        <v>288</v>
      </c>
      <c r="GN3" t="s">
        <v>26</v>
      </c>
      <c r="GO3" t="s">
        <v>24</v>
      </c>
    </row>
    <row r="4" spans="1:197" x14ac:dyDescent="0.25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t="s">
        <v>29</v>
      </c>
      <c r="I4" t="s">
        <v>30</v>
      </c>
      <c r="J4" t="s">
        <v>31</v>
      </c>
      <c r="K4" t="s">
        <v>32</v>
      </c>
      <c r="P4" t="s">
        <v>26</v>
      </c>
      <c r="Y4" t="s">
        <v>33</v>
      </c>
      <c r="Z4" t="s">
        <v>34</v>
      </c>
      <c r="AA4" t="s">
        <v>35</v>
      </c>
      <c r="AB4" t="s">
        <v>36</v>
      </c>
      <c r="AC4" t="s">
        <v>23</v>
      </c>
      <c r="AD4" t="s">
        <v>37</v>
      </c>
      <c r="AE4" t="s">
        <v>26</v>
      </c>
      <c r="AF4" t="s">
        <v>38</v>
      </c>
      <c r="AG4" t="s">
        <v>27</v>
      </c>
      <c r="AH4" t="s">
        <v>39</v>
      </c>
      <c r="AI4" t="s">
        <v>40</v>
      </c>
      <c r="AK4" t="s">
        <v>420</v>
      </c>
      <c r="AM4" t="s">
        <v>65</v>
      </c>
      <c r="AN4" t="s">
        <v>66</v>
      </c>
      <c r="AO4" t="s">
        <v>43</v>
      </c>
      <c r="AP4" t="s">
        <v>35</v>
      </c>
      <c r="AQ4" t="s">
        <v>67</v>
      </c>
      <c r="AR4" t="s">
        <v>68</v>
      </c>
      <c r="AS4" t="s">
        <v>69</v>
      </c>
      <c r="AT4" t="s">
        <v>26</v>
      </c>
      <c r="AU4" t="s">
        <v>28</v>
      </c>
      <c r="AV4" t="s">
        <v>39</v>
      </c>
      <c r="AW4" t="s">
        <v>70</v>
      </c>
      <c r="AY4" t="s">
        <v>418</v>
      </c>
      <c r="BA4" t="s">
        <v>65</v>
      </c>
      <c r="BB4" t="s">
        <v>66</v>
      </c>
      <c r="BC4" t="s">
        <v>43</v>
      </c>
      <c r="BD4" t="s">
        <v>35</v>
      </c>
      <c r="BE4" t="s">
        <v>67</v>
      </c>
      <c r="BF4" t="s">
        <v>68</v>
      </c>
      <c r="BG4" t="s">
        <v>69</v>
      </c>
      <c r="BH4" t="s">
        <v>26</v>
      </c>
      <c r="BI4" t="s">
        <v>28</v>
      </c>
      <c r="BJ4" t="s">
        <v>39</v>
      </c>
      <c r="BK4" t="s">
        <v>70</v>
      </c>
      <c r="BM4" t="s">
        <v>421</v>
      </c>
      <c r="BO4" t="s">
        <v>65</v>
      </c>
      <c r="BP4" t="s">
        <v>66</v>
      </c>
      <c r="BQ4" t="s">
        <v>43</v>
      </c>
      <c r="BR4" t="s">
        <v>35</v>
      </c>
      <c r="BS4" t="s">
        <v>67</v>
      </c>
      <c r="BT4" t="s">
        <v>68</v>
      </c>
      <c r="BU4" t="s">
        <v>69</v>
      </c>
      <c r="BV4" t="s">
        <v>26</v>
      </c>
      <c r="BW4" t="s">
        <v>28</v>
      </c>
      <c r="BX4" t="s">
        <v>39</v>
      </c>
      <c r="BY4" t="s">
        <v>70</v>
      </c>
      <c r="CA4" s="1" t="s">
        <v>435</v>
      </c>
      <c r="CC4" t="s">
        <v>343</v>
      </c>
      <c r="CD4" t="s">
        <v>29</v>
      </c>
      <c r="CE4" t="s">
        <v>26</v>
      </c>
      <c r="CF4" t="s">
        <v>60</v>
      </c>
      <c r="CG4" t="s">
        <v>344</v>
      </c>
      <c r="CH4" t="s">
        <v>62</v>
      </c>
      <c r="CI4" t="s">
        <v>8</v>
      </c>
      <c r="CJ4" t="s">
        <v>84</v>
      </c>
      <c r="CK4" t="s">
        <v>36</v>
      </c>
      <c r="CL4" t="s">
        <v>7</v>
      </c>
      <c r="CM4" t="s">
        <v>20</v>
      </c>
      <c r="CO4" t="s">
        <v>455</v>
      </c>
      <c r="DC4" t="s">
        <v>476</v>
      </c>
      <c r="DP4" t="s">
        <v>505</v>
      </c>
      <c r="DR4" t="s">
        <v>82</v>
      </c>
      <c r="DS4" t="s">
        <v>83</v>
      </c>
      <c r="DT4" t="s">
        <v>84</v>
      </c>
      <c r="DU4" t="s">
        <v>85</v>
      </c>
      <c r="DV4" t="s">
        <v>86</v>
      </c>
      <c r="DW4" t="s">
        <v>43</v>
      </c>
      <c r="DX4" t="s">
        <v>87</v>
      </c>
      <c r="DY4" t="s">
        <v>88</v>
      </c>
      <c r="DZ4" t="s">
        <v>62</v>
      </c>
      <c r="EA4" t="s">
        <v>26</v>
      </c>
      <c r="EB4" t="s">
        <v>8</v>
      </c>
      <c r="EC4" t="s">
        <v>515</v>
      </c>
      <c r="ED4">
        <f>8/10*100</f>
        <v>80</v>
      </c>
      <c r="EE4" t="s">
        <v>82</v>
      </c>
      <c r="EF4" t="s">
        <v>83</v>
      </c>
      <c r="EG4" t="s">
        <v>84</v>
      </c>
      <c r="EH4" t="s">
        <v>85</v>
      </c>
      <c r="EI4" t="s">
        <v>86</v>
      </c>
      <c r="EJ4" t="s">
        <v>43</v>
      </c>
      <c r="EK4" t="s">
        <v>87</v>
      </c>
      <c r="EL4" t="s">
        <v>88</v>
      </c>
      <c r="EM4" t="s">
        <v>62</v>
      </c>
      <c r="EN4" t="s">
        <v>26</v>
      </c>
      <c r="EO4" t="s">
        <v>8</v>
      </c>
      <c r="EP4" t="s">
        <v>513</v>
      </c>
      <c r="EQ4">
        <f>9/11*100</f>
        <v>81.818181818181827</v>
      </c>
      <c r="ER4" t="s">
        <v>82</v>
      </c>
      <c r="ES4" t="s">
        <v>83</v>
      </c>
      <c r="ET4" t="s">
        <v>84</v>
      </c>
      <c r="EU4" t="s">
        <v>85</v>
      </c>
      <c r="EV4" t="s">
        <v>86</v>
      </c>
      <c r="EW4" t="s">
        <v>43</v>
      </c>
      <c r="EX4" t="s">
        <v>87</v>
      </c>
      <c r="EY4" t="s">
        <v>88</v>
      </c>
      <c r="EZ4" t="s">
        <v>62</v>
      </c>
      <c r="FA4" t="s">
        <v>26</v>
      </c>
      <c r="FB4" t="s">
        <v>8</v>
      </c>
      <c r="FC4" t="s">
        <v>516</v>
      </c>
      <c r="FD4">
        <f>10/12*100</f>
        <v>83.333333333333343</v>
      </c>
      <c r="FE4" t="s">
        <v>82</v>
      </c>
      <c r="FF4" t="s">
        <v>83</v>
      </c>
      <c r="FG4" t="s">
        <v>84</v>
      </c>
      <c r="FH4" t="s">
        <v>85</v>
      </c>
      <c r="FI4" t="s">
        <v>86</v>
      </c>
      <c r="FJ4" t="s">
        <v>43</v>
      </c>
      <c r="FK4" t="s">
        <v>87</v>
      </c>
      <c r="FL4" t="s">
        <v>88</v>
      </c>
      <c r="FM4" t="s">
        <v>62</v>
      </c>
      <c r="FN4" t="s">
        <v>26</v>
      </c>
      <c r="FO4" t="s">
        <v>8</v>
      </c>
      <c r="FP4" t="s">
        <v>518</v>
      </c>
      <c r="FQ4">
        <f>11/13*100</f>
        <v>84.615384615384613</v>
      </c>
      <c r="FR4" t="s">
        <v>115</v>
      </c>
      <c r="FS4" t="s">
        <v>42</v>
      </c>
      <c r="FT4" t="s">
        <v>26</v>
      </c>
      <c r="FU4" t="s">
        <v>5</v>
      </c>
      <c r="FV4" t="s">
        <v>8</v>
      </c>
      <c r="FW4" t="s">
        <v>116</v>
      </c>
      <c r="FX4" t="s">
        <v>105</v>
      </c>
      <c r="FY4" t="s">
        <v>117</v>
      </c>
      <c r="FZ4" t="s">
        <v>118</v>
      </c>
      <c r="GA4" t="s">
        <v>86</v>
      </c>
      <c r="GB4" t="s">
        <v>119</v>
      </c>
      <c r="GC4" t="s">
        <v>520</v>
      </c>
      <c r="GD4">
        <f>12/14*100</f>
        <v>85.714285714285708</v>
      </c>
    </row>
    <row r="5" spans="1:197" x14ac:dyDescent="0.25">
      <c r="A5" t="s">
        <v>33</v>
      </c>
      <c r="B5" t="s">
        <v>34</v>
      </c>
      <c r="C5" t="s">
        <v>35</v>
      </c>
      <c r="D5" t="s">
        <v>36</v>
      </c>
      <c r="E5" t="s">
        <v>23</v>
      </c>
      <c r="F5" t="s">
        <v>37</v>
      </c>
      <c r="G5" t="s">
        <v>26</v>
      </c>
      <c r="H5" t="s">
        <v>38</v>
      </c>
      <c r="I5" t="s">
        <v>27</v>
      </c>
      <c r="J5" t="s">
        <v>39</v>
      </c>
      <c r="K5" t="s">
        <v>40</v>
      </c>
      <c r="Q5" t="s">
        <v>26</v>
      </c>
      <c r="Y5" t="s">
        <v>45</v>
      </c>
      <c r="Z5" t="s">
        <v>13</v>
      </c>
      <c r="AA5" t="s">
        <v>29</v>
      </c>
      <c r="AB5" t="s">
        <v>46</v>
      </c>
      <c r="AC5" t="s">
        <v>39</v>
      </c>
      <c r="AD5" t="s">
        <v>26</v>
      </c>
      <c r="AE5" t="s">
        <v>18</v>
      </c>
      <c r="AF5" t="s">
        <v>47</v>
      </c>
      <c r="AG5" t="s">
        <v>48</v>
      </c>
      <c r="AH5" t="s">
        <v>28</v>
      </c>
      <c r="AI5" t="s">
        <v>49</v>
      </c>
      <c r="AK5" t="s">
        <v>419</v>
      </c>
      <c r="AM5" t="s">
        <v>71</v>
      </c>
      <c r="AN5" t="s">
        <v>72</v>
      </c>
      <c r="AO5" t="s">
        <v>37</v>
      </c>
      <c r="AP5" t="s">
        <v>26</v>
      </c>
      <c r="AQ5" t="s">
        <v>73</v>
      </c>
      <c r="AR5" t="s">
        <v>43</v>
      </c>
      <c r="AS5" t="s">
        <v>60</v>
      </c>
      <c r="AT5" t="s">
        <v>6</v>
      </c>
      <c r="AU5" t="s">
        <v>74</v>
      </c>
      <c r="AV5" t="s">
        <v>75</v>
      </c>
      <c r="AW5" t="s">
        <v>76</v>
      </c>
      <c r="AY5" t="s">
        <v>419</v>
      </c>
      <c r="BA5" t="s">
        <v>82</v>
      </c>
      <c r="BB5" t="s">
        <v>83</v>
      </c>
      <c r="BC5" t="s">
        <v>84</v>
      </c>
      <c r="BD5" t="s">
        <v>85</v>
      </c>
      <c r="BE5" t="s">
        <v>86</v>
      </c>
      <c r="BF5" t="s">
        <v>43</v>
      </c>
      <c r="BG5" t="s">
        <v>87</v>
      </c>
      <c r="BH5" t="s">
        <v>88</v>
      </c>
      <c r="BI5" t="s">
        <v>62</v>
      </c>
      <c r="BJ5" t="s">
        <v>26</v>
      </c>
      <c r="BK5" t="s">
        <v>8</v>
      </c>
      <c r="BM5" t="s">
        <v>419</v>
      </c>
      <c r="BO5" t="s">
        <v>82</v>
      </c>
      <c r="BP5" t="s">
        <v>83</v>
      </c>
      <c r="BQ5" t="s">
        <v>84</v>
      </c>
      <c r="BR5" t="s">
        <v>85</v>
      </c>
      <c r="BS5" t="s">
        <v>86</v>
      </c>
      <c r="BT5" t="s">
        <v>43</v>
      </c>
      <c r="BU5" t="s">
        <v>87</v>
      </c>
      <c r="BV5" t="s">
        <v>88</v>
      </c>
      <c r="BW5" t="s">
        <v>62</v>
      </c>
      <c r="BX5" t="s">
        <v>26</v>
      </c>
      <c r="BY5" t="s">
        <v>8</v>
      </c>
      <c r="CA5" t="s">
        <v>436</v>
      </c>
      <c r="CC5" t="s">
        <v>387</v>
      </c>
      <c r="CD5" t="s">
        <v>388</v>
      </c>
      <c r="CE5" t="s">
        <v>132</v>
      </c>
      <c r="CF5" t="s">
        <v>188</v>
      </c>
      <c r="CG5" t="s">
        <v>139</v>
      </c>
      <c r="CH5" t="s">
        <v>26</v>
      </c>
      <c r="CI5" t="s">
        <v>389</v>
      </c>
      <c r="CJ5" t="s">
        <v>62</v>
      </c>
      <c r="CK5" t="s">
        <v>182</v>
      </c>
      <c r="CL5" t="s">
        <v>25</v>
      </c>
      <c r="CM5" t="s">
        <v>390</v>
      </c>
      <c r="CO5" t="s">
        <v>419</v>
      </c>
      <c r="CQ5" t="s">
        <v>456</v>
      </c>
      <c r="DC5" t="s">
        <v>419</v>
      </c>
      <c r="DD5" t="s">
        <v>502</v>
      </c>
      <c r="DE5" t="s">
        <v>478</v>
      </c>
      <c r="DP5" t="s">
        <v>419</v>
      </c>
      <c r="DR5" t="s">
        <v>65</v>
      </c>
      <c r="DS5" t="s">
        <v>66</v>
      </c>
      <c r="DT5" t="s">
        <v>43</v>
      </c>
      <c r="DU5" t="s">
        <v>35</v>
      </c>
      <c r="DV5" t="s">
        <v>67</v>
      </c>
      <c r="DW5" t="s">
        <v>68</v>
      </c>
      <c r="DX5" t="s">
        <v>69</v>
      </c>
      <c r="DY5" t="s">
        <v>26</v>
      </c>
      <c r="DZ5" t="s">
        <v>28</v>
      </c>
      <c r="EA5" t="s">
        <v>39</v>
      </c>
      <c r="EB5" t="s">
        <v>70</v>
      </c>
      <c r="EC5" t="s">
        <v>419</v>
      </c>
      <c r="EE5" t="s">
        <v>95</v>
      </c>
      <c r="EF5" t="s">
        <v>26</v>
      </c>
      <c r="EG5" t="s">
        <v>96</v>
      </c>
      <c r="EH5" t="s">
        <v>97</v>
      </c>
      <c r="EI5" t="s">
        <v>98</v>
      </c>
      <c r="EJ5" t="s">
        <v>99</v>
      </c>
      <c r="EK5" t="s">
        <v>100</v>
      </c>
      <c r="EL5" t="s">
        <v>26</v>
      </c>
      <c r="EM5" t="s">
        <v>101</v>
      </c>
      <c r="EN5" t="s">
        <v>102</v>
      </c>
      <c r="EO5" t="s">
        <v>103</v>
      </c>
      <c r="EP5" t="s">
        <v>419</v>
      </c>
      <c r="ER5" t="s">
        <v>115</v>
      </c>
      <c r="ES5" t="s">
        <v>42</v>
      </c>
      <c r="ET5" t="s">
        <v>26</v>
      </c>
      <c r="EU5" t="s">
        <v>5</v>
      </c>
      <c r="EV5" t="s">
        <v>8</v>
      </c>
      <c r="EW5" t="s">
        <v>116</v>
      </c>
      <c r="EX5" t="s">
        <v>105</v>
      </c>
      <c r="EY5" t="s">
        <v>117</v>
      </c>
      <c r="EZ5" t="s">
        <v>118</v>
      </c>
      <c r="FA5" t="s">
        <v>86</v>
      </c>
      <c r="FB5" t="s">
        <v>119</v>
      </c>
      <c r="FC5" t="s">
        <v>419</v>
      </c>
      <c r="FE5" t="s">
        <v>115</v>
      </c>
      <c r="FF5" t="s">
        <v>42</v>
      </c>
      <c r="FG5" t="s">
        <v>26</v>
      </c>
      <c r="FH5" t="s">
        <v>5</v>
      </c>
      <c r="FI5" t="s">
        <v>8</v>
      </c>
      <c r="FJ5" t="s">
        <v>116</v>
      </c>
      <c r="FK5" t="s">
        <v>105</v>
      </c>
      <c r="FL5" t="s">
        <v>117</v>
      </c>
      <c r="FM5" t="s">
        <v>118</v>
      </c>
      <c r="FN5" t="s">
        <v>86</v>
      </c>
      <c r="FO5" t="s">
        <v>119</v>
      </c>
      <c r="FP5" t="s">
        <v>419</v>
      </c>
      <c r="FR5" t="s">
        <v>284</v>
      </c>
      <c r="FS5" t="s">
        <v>57</v>
      </c>
      <c r="FT5" t="s">
        <v>56</v>
      </c>
      <c r="FU5" t="s">
        <v>285</v>
      </c>
      <c r="FV5" t="s">
        <v>2</v>
      </c>
      <c r="FW5" t="s">
        <v>175</v>
      </c>
      <c r="FX5" t="s">
        <v>286</v>
      </c>
      <c r="FY5" t="s">
        <v>287</v>
      </c>
      <c r="FZ5" t="s">
        <v>288</v>
      </c>
      <c r="GA5" t="s">
        <v>26</v>
      </c>
      <c r="GB5" t="s">
        <v>24</v>
      </c>
      <c r="GC5" t="s">
        <v>419</v>
      </c>
      <c r="GD5" t="s">
        <v>522</v>
      </c>
    </row>
    <row r="6" spans="1:197" x14ac:dyDescent="0.25">
      <c r="A6" t="s">
        <v>41</v>
      </c>
      <c r="B6" t="s">
        <v>13</v>
      </c>
      <c r="C6" t="s">
        <v>42</v>
      </c>
      <c r="D6" t="s">
        <v>43</v>
      </c>
      <c r="E6" t="s">
        <v>6</v>
      </c>
      <c r="F6" t="s">
        <v>44</v>
      </c>
      <c r="G6" t="s">
        <v>27</v>
      </c>
      <c r="H6" t="s">
        <v>29</v>
      </c>
      <c r="I6" t="s">
        <v>39</v>
      </c>
      <c r="J6" t="s">
        <v>24</v>
      </c>
      <c r="K6" t="s">
        <v>38</v>
      </c>
      <c r="R6" t="s">
        <v>26</v>
      </c>
      <c r="Y6" t="s">
        <v>65</v>
      </c>
      <c r="Z6" t="s">
        <v>66</v>
      </c>
      <c r="AA6" t="s">
        <v>43</v>
      </c>
      <c r="AB6" t="s">
        <v>35</v>
      </c>
      <c r="AC6" t="s">
        <v>67</v>
      </c>
      <c r="AD6" t="s">
        <v>68</v>
      </c>
      <c r="AE6" t="s">
        <v>69</v>
      </c>
      <c r="AF6" t="s">
        <v>26</v>
      </c>
      <c r="AG6" t="s">
        <v>28</v>
      </c>
      <c r="AH6" t="s">
        <v>39</v>
      </c>
      <c r="AI6" t="s">
        <v>70</v>
      </c>
      <c r="AM6" t="s">
        <v>77</v>
      </c>
      <c r="AN6" t="s">
        <v>78</v>
      </c>
      <c r="AO6" t="s">
        <v>26</v>
      </c>
      <c r="AP6" t="s">
        <v>6</v>
      </c>
      <c r="AQ6" t="s">
        <v>43</v>
      </c>
      <c r="AR6" t="s">
        <v>79</v>
      </c>
      <c r="AS6" t="s">
        <v>80</v>
      </c>
      <c r="AT6" t="s">
        <v>25</v>
      </c>
      <c r="AU6" t="s">
        <v>62</v>
      </c>
      <c r="AV6" t="s">
        <v>42</v>
      </c>
      <c r="AW6" t="s">
        <v>81</v>
      </c>
      <c r="BA6" t="s">
        <v>95</v>
      </c>
      <c r="BB6" t="s">
        <v>26</v>
      </c>
      <c r="BC6" t="s">
        <v>96</v>
      </c>
      <c r="BD6" t="s">
        <v>97</v>
      </c>
      <c r="BE6" t="s">
        <v>98</v>
      </c>
      <c r="BF6" t="s">
        <v>99</v>
      </c>
      <c r="BG6" t="s">
        <v>100</v>
      </c>
      <c r="BH6" t="s">
        <v>26</v>
      </c>
      <c r="BI6" t="s">
        <v>101</v>
      </c>
      <c r="BJ6" t="s">
        <v>102</v>
      </c>
      <c r="BK6" t="s">
        <v>103</v>
      </c>
      <c r="BO6" t="s">
        <v>95</v>
      </c>
      <c r="BP6" t="s">
        <v>26</v>
      </c>
      <c r="BQ6" t="s">
        <v>96</v>
      </c>
      <c r="BR6" t="s">
        <v>97</v>
      </c>
      <c r="BS6" t="s">
        <v>98</v>
      </c>
      <c r="BT6" t="s">
        <v>99</v>
      </c>
      <c r="BU6" t="s">
        <v>100</v>
      </c>
      <c r="BV6" t="s">
        <v>26</v>
      </c>
      <c r="BW6" t="s">
        <v>101</v>
      </c>
      <c r="BX6" t="s">
        <v>102</v>
      </c>
      <c r="BY6" t="s">
        <v>103</v>
      </c>
      <c r="CQ6" t="s">
        <v>82</v>
      </c>
      <c r="CR6" t="s">
        <v>83</v>
      </c>
      <c r="CS6" t="s">
        <v>84</v>
      </c>
      <c r="CT6" t="s">
        <v>85</v>
      </c>
      <c r="CU6" t="s">
        <v>86</v>
      </c>
      <c r="CV6" t="s">
        <v>43</v>
      </c>
      <c r="CW6" t="s">
        <v>87</v>
      </c>
      <c r="CX6" t="s">
        <v>88</v>
      </c>
      <c r="CY6" t="s">
        <v>62</v>
      </c>
      <c r="CZ6" t="s">
        <v>26</v>
      </c>
      <c r="DA6" t="s">
        <v>8</v>
      </c>
      <c r="DD6">
        <f>7/8*100</f>
        <v>87.5</v>
      </c>
      <c r="DE6" t="s">
        <v>82</v>
      </c>
      <c r="DF6" t="s">
        <v>83</v>
      </c>
      <c r="DG6" t="s">
        <v>84</v>
      </c>
      <c r="DH6" t="s">
        <v>85</v>
      </c>
      <c r="DI6" t="s">
        <v>86</v>
      </c>
      <c r="DJ6" t="s">
        <v>43</v>
      </c>
      <c r="DK6" t="s">
        <v>87</v>
      </c>
      <c r="DL6" t="s">
        <v>88</v>
      </c>
      <c r="DM6" t="s">
        <v>62</v>
      </c>
      <c r="DN6" t="s">
        <v>26</v>
      </c>
      <c r="DO6" t="s">
        <v>8</v>
      </c>
      <c r="DR6" t="s">
        <v>95</v>
      </c>
      <c r="DS6" t="s">
        <v>26</v>
      </c>
      <c r="DT6" t="s">
        <v>96</v>
      </c>
      <c r="DU6" t="s">
        <v>97</v>
      </c>
      <c r="DV6" t="s">
        <v>98</v>
      </c>
      <c r="DW6" t="s">
        <v>99</v>
      </c>
      <c r="DX6" t="s">
        <v>100</v>
      </c>
      <c r="DY6" t="s">
        <v>26</v>
      </c>
      <c r="DZ6" t="s">
        <v>101</v>
      </c>
      <c r="EA6" t="s">
        <v>102</v>
      </c>
      <c r="EB6" t="s">
        <v>103</v>
      </c>
      <c r="EE6" t="s">
        <v>115</v>
      </c>
      <c r="EF6" t="s">
        <v>42</v>
      </c>
      <c r="EG6" t="s">
        <v>26</v>
      </c>
      <c r="EH6" t="s">
        <v>5</v>
      </c>
      <c r="EI6" t="s">
        <v>8</v>
      </c>
      <c r="EJ6" t="s">
        <v>116</v>
      </c>
      <c r="EK6" t="s">
        <v>105</v>
      </c>
      <c r="EL6" t="s">
        <v>117</v>
      </c>
      <c r="EM6" t="s">
        <v>118</v>
      </c>
      <c r="EN6" t="s">
        <v>86</v>
      </c>
      <c r="EO6" t="s">
        <v>119</v>
      </c>
      <c r="ER6" t="s">
        <v>284</v>
      </c>
      <c r="ES6" t="s">
        <v>57</v>
      </c>
      <c r="ET6" t="s">
        <v>56</v>
      </c>
      <c r="EU6" t="s">
        <v>285</v>
      </c>
      <c r="EV6" t="s">
        <v>2</v>
      </c>
      <c r="EW6" t="s">
        <v>175</v>
      </c>
      <c r="EX6" t="s">
        <v>286</v>
      </c>
      <c r="EY6" t="s">
        <v>287</v>
      </c>
      <c r="EZ6" t="s">
        <v>288</v>
      </c>
      <c r="FA6" t="s">
        <v>26</v>
      </c>
      <c r="FB6" t="s">
        <v>24</v>
      </c>
      <c r="FE6" t="s">
        <v>284</v>
      </c>
      <c r="FF6" t="s">
        <v>57</v>
      </c>
      <c r="FG6" t="s">
        <v>56</v>
      </c>
      <c r="FH6" t="s">
        <v>285</v>
      </c>
      <c r="FI6" t="s">
        <v>2</v>
      </c>
      <c r="FJ6" t="s">
        <v>175</v>
      </c>
      <c r="FK6" t="s">
        <v>286</v>
      </c>
      <c r="FL6" t="s">
        <v>287</v>
      </c>
      <c r="FM6" t="s">
        <v>288</v>
      </c>
      <c r="FN6" t="s">
        <v>26</v>
      </c>
      <c r="FO6" t="s">
        <v>24</v>
      </c>
    </row>
    <row r="7" spans="1:197" x14ac:dyDescent="0.25">
      <c r="A7" t="s">
        <v>45</v>
      </c>
      <c r="B7" t="s">
        <v>13</v>
      </c>
      <c r="C7" t="s">
        <v>29</v>
      </c>
      <c r="D7" t="s">
        <v>46</v>
      </c>
      <c r="E7" t="s">
        <v>39</v>
      </c>
      <c r="F7" t="s">
        <v>26</v>
      </c>
      <c r="G7" t="s">
        <v>18</v>
      </c>
      <c r="H7" t="s">
        <v>47</v>
      </c>
      <c r="I7" t="s">
        <v>48</v>
      </c>
      <c r="J7" t="s">
        <v>28</v>
      </c>
      <c r="K7" t="s">
        <v>49</v>
      </c>
      <c r="S7" t="s">
        <v>26</v>
      </c>
      <c r="Y7" t="s">
        <v>71</v>
      </c>
      <c r="Z7" t="s">
        <v>72</v>
      </c>
      <c r="AA7" t="s">
        <v>37</v>
      </c>
      <c r="AB7" t="s">
        <v>26</v>
      </c>
      <c r="AC7" t="s">
        <v>73</v>
      </c>
      <c r="AD7" t="s">
        <v>43</v>
      </c>
      <c r="AE7" t="s">
        <v>60</v>
      </c>
      <c r="AF7" t="s">
        <v>6</v>
      </c>
      <c r="AG7" t="s">
        <v>74</v>
      </c>
      <c r="AH7" t="s">
        <v>75</v>
      </c>
      <c r="AI7" t="s">
        <v>76</v>
      </c>
      <c r="AM7" t="s">
        <v>82</v>
      </c>
      <c r="AN7" t="s">
        <v>83</v>
      </c>
      <c r="AO7" t="s">
        <v>84</v>
      </c>
      <c r="AP7" t="s">
        <v>85</v>
      </c>
      <c r="AQ7" t="s">
        <v>86</v>
      </c>
      <c r="AR7" t="s">
        <v>43</v>
      </c>
      <c r="AS7" t="s">
        <v>87</v>
      </c>
      <c r="AT7" t="s">
        <v>88</v>
      </c>
      <c r="AU7" t="s">
        <v>62</v>
      </c>
      <c r="AV7" t="s">
        <v>26</v>
      </c>
      <c r="AW7" t="s">
        <v>8</v>
      </c>
      <c r="BA7" t="s">
        <v>115</v>
      </c>
      <c r="BB7" t="s">
        <v>42</v>
      </c>
      <c r="BC7" t="s">
        <v>26</v>
      </c>
      <c r="BD7" t="s">
        <v>5</v>
      </c>
      <c r="BE7" t="s">
        <v>8</v>
      </c>
      <c r="BF7" t="s">
        <v>116</v>
      </c>
      <c r="BG7" t="s">
        <v>105</v>
      </c>
      <c r="BH7" t="s">
        <v>117</v>
      </c>
      <c r="BI7" t="s">
        <v>118</v>
      </c>
      <c r="BJ7" t="s">
        <v>86</v>
      </c>
      <c r="BK7" t="s">
        <v>119</v>
      </c>
      <c r="BO7" t="s">
        <v>115</v>
      </c>
      <c r="BP7" t="s">
        <v>42</v>
      </c>
      <c r="BQ7" t="s">
        <v>26</v>
      </c>
      <c r="BR7" t="s">
        <v>5</v>
      </c>
      <c r="BS7" t="s">
        <v>8</v>
      </c>
      <c r="BT7" t="s">
        <v>116</v>
      </c>
      <c r="BU7" t="s">
        <v>105</v>
      </c>
      <c r="BV7" t="s">
        <v>117</v>
      </c>
      <c r="BW7" t="s">
        <v>118</v>
      </c>
      <c r="BX7" t="s">
        <v>86</v>
      </c>
      <c r="BY7" t="s">
        <v>119</v>
      </c>
      <c r="CC7" t="s">
        <v>437</v>
      </c>
      <c r="CQ7" t="s">
        <v>343</v>
      </c>
      <c r="CR7" t="s">
        <v>29</v>
      </c>
      <c r="CS7" t="s">
        <v>26</v>
      </c>
      <c r="CT7" t="s">
        <v>60</v>
      </c>
      <c r="CU7" t="s">
        <v>344</v>
      </c>
      <c r="CV7" t="s">
        <v>62</v>
      </c>
      <c r="CW7" t="s">
        <v>8</v>
      </c>
      <c r="CX7" t="s">
        <v>84</v>
      </c>
      <c r="CY7" t="s">
        <v>36</v>
      </c>
      <c r="CZ7" t="s">
        <v>7</v>
      </c>
      <c r="DA7" t="s">
        <v>20</v>
      </c>
      <c r="DE7" t="s">
        <v>343</v>
      </c>
      <c r="DF7" t="s">
        <v>29</v>
      </c>
      <c r="DG7" t="s">
        <v>26</v>
      </c>
      <c r="DH7" t="s">
        <v>60</v>
      </c>
      <c r="DI7" t="s">
        <v>344</v>
      </c>
      <c r="DJ7" t="s">
        <v>62</v>
      </c>
      <c r="DK7" t="s">
        <v>8</v>
      </c>
      <c r="DL7" t="s">
        <v>84</v>
      </c>
      <c r="DM7" t="s">
        <v>36</v>
      </c>
      <c r="DN7" t="s">
        <v>7</v>
      </c>
      <c r="DO7" t="s">
        <v>20</v>
      </c>
      <c r="DR7" t="s">
        <v>115</v>
      </c>
      <c r="DS7" t="s">
        <v>42</v>
      </c>
      <c r="DT7" t="s">
        <v>26</v>
      </c>
      <c r="DU7" t="s">
        <v>5</v>
      </c>
      <c r="DV7" t="s">
        <v>8</v>
      </c>
      <c r="DW7" t="s">
        <v>116</v>
      </c>
      <c r="DX7" t="s">
        <v>105</v>
      </c>
      <c r="DY7" t="s">
        <v>117</v>
      </c>
      <c r="DZ7" t="s">
        <v>118</v>
      </c>
      <c r="EA7" t="s">
        <v>86</v>
      </c>
      <c r="EB7" t="s">
        <v>119</v>
      </c>
      <c r="EE7" t="s">
        <v>284</v>
      </c>
      <c r="EF7" t="s">
        <v>57</v>
      </c>
      <c r="EG7" t="s">
        <v>56</v>
      </c>
      <c r="EH7" t="s">
        <v>285</v>
      </c>
      <c r="EI7" t="s">
        <v>2</v>
      </c>
      <c r="EJ7" t="s">
        <v>175</v>
      </c>
      <c r="EK7" t="s">
        <v>286</v>
      </c>
      <c r="EL7" t="s">
        <v>287</v>
      </c>
      <c r="EM7" t="s">
        <v>288</v>
      </c>
      <c r="EN7" t="s">
        <v>26</v>
      </c>
      <c r="EO7" t="s">
        <v>24</v>
      </c>
      <c r="ER7" t="s">
        <v>323</v>
      </c>
      <c r="ES7" t="s">
        <v>318</v>
      </c>
      <c r="ET7" t="s">
        <v>26</v>
      </c>
      <c r="EU7" t="s">
        <v>324</v>
      </c>
      <c r="EV7" t="s">
        <v>282</v>
      </c>
      <c r="EW7" t="s">
        <v>4</v>
      </c>
      <c r="EX7" t="s">
        <v>325</v>
      </c>
      <c r="EY7" t="s">
        <v>326</v>
      </c>
      <c r="EZ7" t="s">
        <v>324</v>
      </c>
      <c r="FA7" t="s">
        <v>241</v>
      </c>
      <c r="FB7" t="s">
        <v>327</v>
      </c>
      <c r="FE7" t="s">
        <v>77</v>
      </c>
      <c r="FF7" t="s">
        <v>78</v>
      </c>
      <c r="FG7" t="s">
        <v>26</v>
      </c>
      <c r="FH7" t="s">
        <v>6</v>
      </c>
      <c r="FI7" t="s">
        <v>43</v>
      </c>
      <c r="FJ7" t="s">
        <v>79</v>
      </c>
      <c r="FK7" t="s">
        <v>80</v>
      </c>
      <c r="FL7" t="s">
        <v>25</v>
      </c>
      <c r="FM7" t="s">
        <v>62</v>
      </c>
      <c r="FN7" t="s">
        <v>42</v>
      </c>
      <c r="FO7" t="s">
        <v>81</v>
      </c>
      <c r="GD7" t="s">
        <v>519</v>
      </c>
      <c r="GE7" t="s">
        <v>82</v>
      </c>
      <c r="GF7" t="s">
        <v>83</v>
      </c>
      <c r="GG7" t="s">
        <v>84</v>
      </c>
      <c r="GH7" t="s">
        <v>85</v>
      </c>
      <c r="GI7" t="s">
        <v>86</v>
      </c>
      <c r="GJ7" t="s">
        <v>43</v>
      </c>
      <c r="GK7" t="s">
        <v>87</v>
      </c>
      <c r="GL7" t="s">
        <v>88</v>
      </c>
      <c r="GM7" t="s">
        <v>62</v>
      </c>
      <c r="GN7" t="s">
        <v>26</v>
      </c>
      <c r="GO7" t="s">
        <v>8</v>
      </c>
    </row>
    <row r="8" spans="1:197" x14ac:dyDescent="0.25">
      <c r="A8" t="s">
        <v>50</v>
      </c>
      <c r="B8" t="s">
        <v>46</v>
      </c>
      <c r="C8" t="s">
        <v>51</v>
      </c>
      <c r="D8" t="s">
        <v>52</v>
      </c>
      <c r="E8" t="s">
        <v>53</v>
      </c>
      <c r="F8" t="s">
        <v>54</v>
      </c>
      <c r="G8" t="s">
        <v>27</v>
      </c>
      <c r="H8" t="s">
        <v>55</v>
      </c>
      <c r="I8" t="s">
        <v>28</v>
      </c>
      <c r="J8" t="s">
        <v>56</v>
      </c>
      <c r="K8" t="s">
        <v>57</v>
      </c>
      <c r="T8" t="s">
        <v>26</v>
      </c>
      <c r="Y8" t="s">
        <v>77</v>
      </c>
      <c r="Z8" t="s">
        <v>78</v>
      </c>
      <c r="AA8" t="s">
        <v>26</v>
      </c>
      <c r="AB8" t="s">
        <v>6</v>
      </c>
      <c r="AC8" t="s">
        <v>43</v>
      </c>
      <c r="AD8" t="s">
        <v>79</v>
      </c>
      <c r="AE8" t="s">
        <v>80</v>
      </c>
      <c r="AF8" t="s">
        <v>25</v>
      </c>
      <c r="AG8" t="s">
        <v>62</v>
      </c>
      <c r="AH8" t="s">
        <v>42</v>
      </c>
      <c r="AI8" t="s">
        <v>81</v>
      </c>
      <c r="AM8" t="s">
        <v>89</v>
      </c>
      <c r="AN8" t="s">
        <v>90</v>
      </c>
      <c r="AO8" t="s">
        <v>2</v>
      </c>
      <c r="AP8" t="s">
        <v>91</v>
      </c>
      <c r="AQ8" t="s">
        <v>92</v>
      </c>
      <c r="AR8" t="s">
        <v>26</v>
      </c>
      <c r="AS8" t="s">
        <v>6</v>
      </c>
      <c r="AT8" t="s">
        <v>74</v>
      </c>
      <c r="AU8" t="s">
        <v>79</v>
      </c>
      <c r="AV8" t="s">
        <v>93</v>
      </c>
      <c r="AW8" t="s">
        <v>94</v>
      </c>
      <c r="BA8" t="s">
        <v>120</v>
      </c>
      <c r="BB8" t="s">
        <v>26</v>
      </c>
      <c r="BC8" t="s">
        <v>93</v>
      </c>
      <c r="BD8" t="s">
        <v>121</v>
      </c>
      <c r="BE8" t="s">
        <v>122</v>
      </c>
      <c r="BF8" t="s">
        <v>123</v>
      </c>
      <c r="BG8" t="s">
        <v>124</v>
      </c>
      <c r="BH8" t="s">
        <v>125</v>
      </c>
      <c r="BI8" t="s">
        <v>126</v>
      </c>
      <c r="BJ8" t="s">
        <v>127</v>
      </c>
      <c r="BK8" t="s">
        <v>128</v>
      </c>
      <c r="BO8" t="s">
        <v>284</v>
      </c>
      <c r="BP8" t="s">
        <v>57</v>
      </c>
      <c r="BQ8" t="s">
        <v>56</v>
      </c>
      <c r="BR8" t="s">
        <v>285</v>
      </c>
      <c r="BS8" t="s">
        <v>2</v>
      </c>
      <c r="BT8" t="s">
        <v>175</v>
      </c>
      <c r="BU8" t="s">
        <v>286</v>
      </c>
      <c r="BV8" t="s">
        <v>287</v>
      </c>
      <c r="BW8" t="s">
        <v>288</v>
      </c>
      <c r="BX8" t="s">
        <v>26</v>
      </c>
      <c r="BY8" t="s">
        <v>24</v>
      </c>
      <c r="CC8" t="s">
        <v>45</v>
      </c>
      <c r="CD8" t="s">
        <v>13</v>
      </c>
      <c r="CE8" t="s">
        <v>29</v>
      </c>
      <c r="CF8" t="s">
        <v>46</v>
      </c>
      <c r="CG8" t="s">
        <v>39</v>
      </c>
      <c r="CH8" t="s">
        <v>26</v>
      </c>
      <c r="CI8" t="s">
        <v>18</v>
      </c>
      <c r="CJ8" t="s">
        <v>47</v>
      </c>
      <c r="CK8" t="s">
        <v>48</v>
      </c>
      <c r="CL8" t="s">
        <v>28</v>
      </c>
      <c r="CM8" t="s">
        <v>49</v>
      </c>
      <c r="DR8" t="s">
        <v>284</v>
      </c>
      <c r="DS8" t="s">
        <v>57</v>
      </c>
      <c r="DT8" t="s">
        <v>56</v>
      </c>
      <c r="DU8" t="s">
        <v>285</v>
      </c>
      <c r="DV8" t="s">
        <v>2</v>
      </c>
      <c r="DW8" t="s">
        <v>175</v>
      </c>
      <c r="DX8" t="s">
        <v>286</v>
      </c>
      <c r="DY8" t="s">
        <v>287</v>
      </c>
      <c r="DZ8" t="s">
        <v>288</v>
      </c>
      <c r="EA8" t="s">
        <v>26</v>
      </c>
      <c r="EB8" t="s">
        <v>24</v>
      </c>
      <c r="EE8" t="s">
        <v>323</v>
      </c>
      <c r="EF8" t="s">
        <v>318</v>
      </c>
      <c r="EG8" t="s">
        <v>26</v>
      </c>
      <c r="EH8" t="s">
        <v>324</v>
      </c>
      <c r="EI8" t="s">
        <v>282</v>
      </c>
      <c r="EJ8" t="s">
        <v>4</v>
      </c>
      <c r="EK8" t="s">
        <v>325</v>
      </c>
      <c r="EL8" t="s">
        <v>326</v>
      </c>
      <c r="EM8" t="s">
        <v>324</v>
      </c>
      <c r="EN8" t="s">
        <v>241</v>
      </c>
      <c r="EO8" t="s">
        <v>327</v>
      </c>
      <c r="ER8" t="s">
        <v>77</v>
      </c>
      <c r="ES8" t="s">
        <v>78</v>
      </c>
      <c r="ET8" t="s">
        <v>26</v>
      </c>
      <c r="EU8" t="s">
        <v>6</v>
      </c>
      <c r="EV8" t="s">
        <v>43</v>
      </c>
      <c r="EW8" t="s">
        <v>79</v>
      </c>
      <c r="EX8" t="s">
        <v>80</v>
      </c>
      <c r="EY8" t="s">
        <v>25</v>
      </c>
      <c r="EZ8" t="s">
        <v>62</v>
      </c>
      <c r="FA8" t="s">
        <v>42</v>
      </c>
      <c r="FB8" t="s">
        <v>81</v>
      </c>
      <c r="FQ8" t="s">
        <v>517</v>
      </c>
      <c r="FR8" t="s">
        <v>387</v>
      </c>
      <c r="FS8" t="s">
        <v>388</v>
      </c>
      <c r="FT8" t="s">
        <v>132</v>
      </c>
      <c r="FU8" t="s">
        <v>188</v>
      </c>
      <c r="FV8" t="s">
        <v>139</v>
      </c>
      <c r="FW8" t="s">
        <v>26</v>
      </c>
      <c r="FX8" t="s">
        <v>389</v>
      </c>
      <c r="FY8" t="s">
        <v>62</v>
      </c>
      <c r="FZ8" t="s">
        <v>182</v>
      </c>
      <c r="GA8" t="s">
        <v>25</v>
      </c>
      <c r="GB8" t="s">
        <v>390</v>
      </c>
      <c r="GD8">
        <f>11/14*100</f>
        <v>78.571428571428569</v>
      </c>
      <c r="GE8" t="s">
        <v>115</v>
      </c>
      <c r="GF8" t="s">
        <v>42</v>
      </c>
      <c r="GG8" t="s">
        <v>26</v>
      </c>
      <c r="GH8" t="s">
        <v>5</v>
      </c>
      <c r="GI8" t="s">
        <v>8</v>
      </c>
      <c r="GJ8" t="s">
        <v>116</v>
      </c>
      <c r="GK8" t="s">
        <v>105</v>
      </c>
      <c r="GL8" t="s">
        <v>117</v>
      </c>
      <c r="GM8" t="s">
        <v>118</v>
      </c>
      <c r="GN8" t="s">
        <v>86</v>
      </c>
      <c r="GO8" t="s">
        <v>119</v>
      </c>
    </row>
    <row r="9" spans="1:197" x14ac:dyDescent="0.25">
      <c r="A9" t="s">
        <v>58</v>
      </c>
      <c r="B9" t="s">
        <v>59</v>
      </c>
      <c r="C9" t="s">
        <v>29</v>
      </c>
      <c r="D9" t="s">
        <v>60</v>
      </c>
      <c r="E9" t="s">
        <v>6</v>
      </c>
      <c r="F9" t="s">
        <v>43</v>
      </c>
      <c r="G9" t="s">
        <v>27</v>
      </c>
      <c r="H9" t="s">
        <v>61</v>
      </c>
      <c r="I9" t="s">
        <v>62</v>
      </c>
      <c r="J9" t="s">
        <v>63</v>
      </c>
      <c r="K9" t="s">
        <v>64</v>
      </c>
      <c r="U9" t="s">
        <v>26</v>
      </c>
      <c r="Y9" t="s">
        <v>82</v>
      </c>
      <c r="Z9" t="s">
        <v>83</v>
      </c>
      <c r="AA9" t="s">
        <v>84</v>
      </c>
      <c r="AB9" t="s">
        <v>85</v>
      </c>
      <c r="AC9" t="s">
        <v>86</v>
      </c>
      <c r="AD9" t="s">
        <v>43</v>
      </c>
      <c r="AE9" t="s">
        <v>87</v>
      </c>
      <c r="AF9" t="s">
        <v>88</v>
      </c>
      <c r="AG9" t="s">
        <v>62</v>
      </c>
      <c r="AH9" t="s">
        <v>26</v>
      </c>
      <c r="AI9" t="s">
        <v>8</v>
      </c>
      <c r="AM9" t="s">
        <v>95</v>
      </c>
      <c r="AN9" t="s">
        <v>26</v>
      </c>
      <c r="AO9" t="s">
        <v>96</v>
      </c>
      <c r="AP9" t="s">
        <v>97</v>
      </c>
      <c r="AQ9" t="s">
        <v>98</v>
      </c>
      <c r="AR9" t="s">
        <v>99</v>
      </c>
      <c r="AS9" t="s">
        <v>100</v>
      </c>
      <c r="AT9" t="s">
        <v>26</v>
      </c>
      <c r="AU9" t="s">
        <v>101</v>
      </c>
      <c r="AV9" t="s">
        <v>102</v>
      </c>
      <c r="AW9" t="s">
        <v>103</v>
      </c>
      <c r="BA9" t="s">
        <v>244</v>
      </c>
      <c r="BB9" t="s">
        <v>26</v>
      </c>
      <c r="BC9" t="s">
        <v>130</v>
      </c>
      <c r="BD9" t="s">
        <v>52</v>
      </c>
      <c r="BE9" t="s">
        <v>127</v>
      </c>
      <c r="BF9" t="s">
        <v>207</v>
      </c>
      <c r="BG9" t="s">
        <v>245</v>
      </c>
      <c r="BH9" t="s">
        <v>96</v>
      </c>
      <c r="BI9" t="s">
        <v>132</v>
      </c>
      <c r="BJ9" t="s">
        <v>184</v>
      </c>
      <c r="BK9" t="s">
        <v>121</v>
      </c>
      <c r="BO9" t="s">
        <v>289</v>
      </c>
      <c r="BP9" t="s">
        <v>290</v>
      </c>
      <c r="BQ9" t="s">
        <v>26</v>
      </c>
      <c r="BR9" t="s">
        <v>222</v>
      </c>
      <c r="BS9" t="s">
        <v>282</v>
      </c>
      <c r="BT9" t="s">
        <v>291</v>
      </c>
      <c r="BU9" t="s">
        <v>139</v>
      </c>
      <c r="BV9" t="s">
        <v>292</v>
      </c>
      <c r="BW9" t="s">
        <v>24</v>
      </c>
      <c r="BX9" t="s">
        <v>293</v>
      </c>
      <c r="BY9" t="s">
        <v>74</v>
      </c>
      <c r="CC9" t="s">
        <v>65</v>
      </c>
      <c r="CD9" t="s">
        <v>66</v>
      </c>
      <c r="CE9" t="s">
        <v>43</v>
      </c>
      <c r="CF9" t="s">
        <v>35</v>
      </c>
      <c r="CG9" t="s">
        <v>67</v>
      </c>
      <c r="CH9" t="s">
        <v>68</v>
      </c>
      <c r="CI9" t="s">
        <v>69</v>
      </c>
      <c r="CJ9" t="s">
        <v>26</v>
      </c>
      <c r="CK9" t="s">
        <v>28</v>
      </c>
      <c r="CL9" t="s">
        <v>39</v>
      </c>
      <c r="CM9" t="s">
        <v>70</v>
      </c>
      <c r="CQ9" t="s">
        <v>459</v>
      </c>
      <c r="DD9" t="s">
        <v>502</v>
      </c>
      <c r="DE9" t="s">
        <v>503</v>
      </c>
      <c r="DR9" t="s">
        <v>323</v>
      </c>
      <c r="DS9" t="s">
        <v>318</v>
      </c>
      <c r="DT9" t="s">
        <v>26</v>
      </c>
      <c r="DU9" t="s">
        <v>324</v>
      </c>
      <c r="DV9" t="s">
        <v>282</v>
      </c>
      <c r="DW9" t="s">
        <v>4</v>
      </c>
      <c r="DX9" t="s">
        <v>325</v>
      </c>
      <c r="DY9" t="s">
        <v>326</v>
      </c>
      <c r="DZ9" t="s">
        <v>324</v>
      </c>
      <c r="EA9" t="s">
        <v>241</v>
      </c>
      <c r="EB9" t="s">
        <v>327</v>
      </c>
      <c r="EE9" t="s">
        <v>352</v>
      </c>
      <c r="EF9" t="s">
        <v>51</v>
      </c>
      <c r="EG9" t="s">
        <v>353</v>
      </c>
      <c r="EH9" t="s">
        <v>344</v>
      </c>
      <c r="EI9" t="s">
        <v>60</v>
      </c>
      <c r="EJ9" t="s">
        <v>26</v>
      </c>
      <c r="EK9" t="s">
        <v>24</v>
      </c>
      <c r="EL9" t="s">
        <v>96</v>
      </c>
      <c r="EM9" t="s">
        <v>354</v>
      </c>
      <c r="EN9" t="s">
        <v>163</v>
      </c>
      <c r="EO9" t="s">
        <v>81</v>
      </c>
      <c r="FQ9">
        <f>10/13*100</f>
        <v>76.923076923076934</v>
      </c>
      <c r="FR9" t="s">
        <v>77</v>
      </c>
      <c r="FS9" t="s">
        <v>78</v>
      </c>
      <c r="FT9" t="s">
        <v>26</v>
      </c>
      <c r="FU9" t="s">
        <v>6</v>
      </c>
      <c r="FV9" t="s">
        <v>43</v>
      </c>
      <c r="FW9" t="s">
        <v>79</v>
      </c>
      <c r="FX9" t="s">
        <v>80</v>
      </c>
      <c r="FY9" t="s">
        <v>25</v>
      </c>
      <c r="FZ9" t="s">
        <v>62</v>
      </c>
      <c r="GA9" t="s">
        <v>42</v>
      </c>
      <c r="GB9" t="s">
        <v>81</v>
      </c>
      <c r="GE9" t="s">
        <v>387</v>
      </c>
      <c r="GF9" t="s">
        <v>388</v>
      </c>
      <c r="GG9" t="s">
        <v>132</v>
      </c>
      <c r="GH9" t="s">
        <v>188</v>
      </c>
      <c r="GI9" t="s">
        <v>139</v>
      </c>
      <c r="GJ9" t="s">
        <v>26</v>
      </c>
      <c r="GK9" t="s">
        <v>389</v>
      </c>
      <c r="GL9" t="s">
        <v>62</v>
      </c>
      <c r="GM9" t="s">
        <v>182</v>
      </c>
      <c r="GN9" t="s">
        <v>25</v>
      </c>
      <c r="GO9" t="s">
        <v>390</v>
      </c>
    </row>
    <row r="10" spans="1:197" x14ac:dyDescent="0.25">
      <c r="A10" t="s">
        <v>65</v>
      </c>
      <c r="B10" t="s">
        <v>66</v>
      </c>
      <c r="C10" t="s">
        <v>43</v>
      </c>
      <c r="D10" t="s">
        <v>35</v>
      </c>
      <c r="E10" t="s">
        <v>67</v>
      </c>
      <c r="F10" t="s">
        <v>68</v>
      </c>
      <c r="G10" t="s">
        <v>69</v>
      </c>
      <c r="H10" t="s">
        <v>26</v>
      </c>
      <c r="I10" t="s">
        <v>28</v>
      </c>
      <c r="J10" t="s">
        <v>39</v>
      </c>
      <c r="K10" t="s">
        <v>70</v>
      </c>
      <c r="V10" t="s">
        <v>26</v>
      </c>
      <c r="Y10" t="s">
        <v>89</v>
      </c>
      <c r="Z10" t="s">
        <v>90</v>
      </c>
      <c r="AA10" t="s">
        <v>2</v>
      </c>
      <c r="AB10" t="s">
        <v>91</v>
      </c>
      <c r="AC10" t="s">
        <v>92</v>
      </c>
      <c r="AD10" t="s">
        <v>26</v>
      </c>
      <c r="AE10" t="s">
        <v>6</v>
      </c>
      <c r="AF10" t="s">
        <v>74</v>
      </c>
      <c r="AG10" t="s">
        <v>79</v>
      </c>
      <c r="AH10" t="s">
        <v>93</v>
      </c>
      <c r="AI10" t="s">
        <v>94</v>
      </c>
      <c r="AM10" t="s">
        <v>115</v>
      </c>
      <c r="AN10" t="s">
        <v>42</v>
      </c>
      <c r="AO10" t="s">
        <v>26</v>
      </c>
      <c r="AP10" t="s">
        <v>5</v>
      </c>
      <c r="AQ10" t="s">
        <v>8</v>
      </c>
      <c r="AR10" t="s">
        <v>116</v>
      </c>
      <c r="AS10" t="s">
        <v>105</v>
      </c>
      <c r="AT10" t="s">
        <v>117</v>
      </c>
      <c r="AU10" t="s">
        <v>118</v>
      </c>
      <c r="AV10" t="s">
        <v>86</v>
      </c>
      <c r="AW10" t="s">
        <v>119</v>
      </c>
      <c r="BA10" t="s">
        <v>284</v>
      </c>
      <c r="BB10" t="s">
        <v>57</v>
      </c>
      <c r="BC10" t="s">
        <v>56</v>
      </c>
      <c r="BD10" t="s">
        <v>285</v>
      </c>
      <c r="BE10" t="s">
        <v>2</v>
      </c>
      <c r="BF10" t="s">
        <v>175</v>
      </c>
      <c r="BG10" t="s">
        <v>286</v>
      </c>
      <c r="BH10" t="s">
        <v>287</v>
      </c>
      <c r="BI10" t="s">
        <v>288</v>
      </c>
      <c r="BJ10" t="s">
        <v>26</v>
      </c>
      <c r="BK10" t="s">
        <v>24</v>
      </c>
      <c r="BO10" t="s">
        <v>321</v>
      </c>
      <c r="BP10" t="s">
        <v>204</v>
      </c>
      <c r="BQ10" t="s">
        <v>199</v>
      </c>
      <c r="BR10" t="s">
        <v>26</v>
      </c>
      <c r="BS10" t="s">
        <v>139</v>
      </c>
      <c r="BT10" t="s">
        <v>48</v>
      </c>
      <c r="BU10" t="s">
        <v>148</v>
      </c>
      <c r="BV10" t="s">
        <v>52</v>
      </c>
      <c r="BW10" t="s">
        <v>322</v>
      </c>
      <c r="BX10" t="s">
        <v>91</v>
      </c>
      <c r="BY10" t="s">
        <v>4</v>
      </c>
      <c r="CC10" t="s">
        <v>95</v>
      </c>
      <c r="CD10" t="s">
        <v>26</v>
      </c>
      <c r="CE10" t="s">
        <v>96</v>
      </c>
      <c r="CF10" t="s">
        <v>97</v>
      </c>
      <c r="CG10" t="s">
        <v>98</v>
      </c>
      <c r="CH10" t="s">
        <v>99</v>
      </c>
      <c r="CI10" t="s">
        <v>100</v>
      </c>
      <c r="CJ10" t="s">
        <v>26</v>
      </c>
      <c r="CK10" t="s">
        <v>101</v>
      </c>
      <c r="CL10" t="s">
        <v>102</v>
      </c>
      <c r="CM10" t="s">
        <v>103</v>
      </c>
      <c r="CQ10" t="s">
        <v>45</v>
      </c>
      <c r="CR10" t="s">
        <v>13</v>
      </c>
      <c r="CS10" t="s">
        <v>29</v>
      </c>
      <c r="CT10" t="s">
        <v>46</v>
      </c>
      <c r="CU10" t="s">
        <v>39</v>
      </c>
      <c r="CV10" t="s">
        <v>26</v>
      </c>
      <c r="CW10" t="s">
        <v>18</v>
      </c>
      <c r="CX10" t="s">
        <v>47</v>
      </c>
      <c r="CY10" t="s">
        <v>48</v>
      </c>
      <c r="CZ10" t="s">
        <v>28</v>
      </c>
      <c r="DA10" t="s">
        <v>49</v>
      </c>
      <c r="DD10">
        <f>7/8*100</f>
        <v>87.5</v>
      </c>
      <c r="DE10" t="s">
        <v>45</v>
      </c>
      <c r="DF10" t="s">
        <v>13</v>
      </c>
      <c r="DG10" t="s">
        <v>29</v>
      </c>
      <c r="DH10" t="s">
        <v>46</v>
      </c>
      <c r="DI10" t="s">
        <v>39</v>
      </c>
      <c r="DJ10" t="s">
        <v>26</v>
      </c>
      <c r="DK10" t="s">
        <v>18</v>
      </c>
      <c r="DL10" t="s">
        <v>47</v>
      </c>
      <c r="DM10" t="s">
        <v>48</v>
      </c>
      <c r="DN10" t="s">
        <v>28</v>
      </c>
      <c r="DO10" t="s">
        <v>49</v>
      </c>
      <c r="DR10" t="s">
        <v>352</v>
      </c>
      <c r="DS10" t="s">
        <v>51</v>
      </c>
      <c r="DT10" t="s">
        <v>353</v>
      </c>
      <c r="DU10" t="s">
        <v>344</v>
      </c>
      <c r="DV10" t="s">
        <v>60</v>
      </c>
      <c r="DW10" t="s">
        <v>26</v>
      </c>
      <c r="DX10" t="s">
        <v>24</v>
      </c>
      <c r="DY10" t="s">
        <v>96</v>
      </c>
      <c r="DZ10" t="s">
        <v>354</v>
      </c>
      <c r="EA10" t="s">
        <v>163</v>
      </c>
      <c r="EB10" t="s">
        <v>81</v>
      </c>
      <c r="EE10" t="s">
        <v>77</v>
      </c>
      <c r="EF10" t="s">
        <v>78</v>
      </c>
      <c r="EG10" t="s">
        <v>26</v>
      </c>
      <c r="EH10" t="s">
        <v>6</v>
      </c>
      <c r="EI10" t="s">
        <v>43</v>
      </c>
      <c r="EJ10" t="s">
        <v>79</v>
      </c>
      <c r="EK10" t="s">
        <v>80</v>
      </c>
      <c r="EL10" t="s">
        <v>25</v>
      </c>
      <c r="EM10" t="s">
        <v>62</v>
      </c>
      <c r="EN10" t="s">
        <v>42</v>
      </c>
      <c r="EO10" t="s">
        <v>81</v>
      </c>
      <c r="FR10" t="s">
        <v>323</v>
      </c>
      <c r="FS10" t="s">
        <v>318</v>
      </c>
      <c r="FT10" t="s">
        <v>26</v>
      </c>
      <c r="FU10" t="s">
        <v>324</v>
      </c>
      <c r="FV10" t="s">
        <v>282</v>
      </c>
      <c r="FW10" t="s">
        <v>4</v>
      </c>
      <c r="FX10" t="s">
        <v>325</v>
      </c>
      <c r="FY10" t="s">
        <v>326</v>
      </c>
      <c r="FZ10" t="s">
        <v>324</v>
      </c>
      <c r="GA10" t="s">
        <v>241</v>
      </c>
      <c r="GB10" t="s">
        <v>327</v>
      </c>
      <c r="GE10" t="s">
        <v>77</v>
      </c>
      <c r="GF10" t="s">
        <v>78</v>
      </c>
      <c r="GG10" t="s">
        <v>26</v>
      </c>
      <c r="GH10" t="s">
        <v>6</v>
      </c>
      <c r="GI10" t="s">
        <v>43</v>
      </c>
      <c r="GJ10" t="s">
        <v>79</v>
      </c>
      <c r="GK10" t="s">
        <v>80</v>
      </c>
      <c r="GL10" t="s">
        <v>25</v>
      </c>
      <c r="GM10" t="s">
        <v>62</v>
      </c>
      <c r="GN10" t="s">
        <v>42</v>
      </c>
      <c r="GO10" t="s">
        <v>81</v>
      </c>
    </row>
    <row r="11" spans="1:197" x14ac:dyDescent="0.25">
      <c r="A11" t="s">
        <v>71</v>
      </c>
      <c r="B11" t="s">
        <v>72</v>
      </c>
      <c r="C11" t="s">
        <v>37</v>
      </c>
      <c r="D11" t="s">
        <v>26</v>
      </c>
      <c r="E11" t="s">
        <v>73</v>
      </c>
      <c r="F11" t="s">
        <v>43</v>
      </c>
      <c r="G11" t="s">
        <v>60</v>
      </c>
      <c r="H11" t="s">
        <v>6</v>
      </c>
      <c r="I11" t="s">
        <v>74</v>
      </c>
      <c r="J11" t="s">
        <v>75</v>
      </c>
      <c r="K11" t="s">
        <v>76</v>
      </c>
      <c r="W11" t="s">
        <v>26</v>
      </c>
      <c r="Y11" t="s">
        <v>95</v>
      </c>
      <c r="Z11" t="s">
        <v>26</v>
      </c>
      <c r="AA11" t="s">
        <v>96</v>
      </c>
      <c r="AB11" t="s">
        <v>97</v>
      </c>
      <c r="AC11" t="s">
        <v>98</v>
      </c>
      <c r="AD11" t="s">
        <v>99</v>
      </c>
      <c r="AE11" t="s">
        <v>100</v>
      </c>
      <c r="AF11" t="s">
        <v>26</v>
      </c>
      <c r="AG11" t="s">
        <v>101</v>
      </c>
      <c r="AH11" t="s">
        <v>102</v>
      </c>
      <c r="AI11" t="s">
        <v>103</v>
      </c>
      <c r="AM11" t="s">
        <v>120</v>
      </c>
      <c r="AN11" t="s">
        <v>26</v>
      </c>
      <c r="AO11" t="s">
        <v>93</v>
      </c>
      <c r="AP11" t="s">
        <v>121</v>
      </c>
      <c r="AQ11" t="s">
        <v>122</v>
      </c>
      <c r="AR11" t="s">
        <v>123</v>
      </c>
      <c r="AS11" t="s">
        <v>124</v>
      </c>
      <c r="AT11" t="s">
        <v>125</v>
      </c>
      <c r="AU11" t="s">
        <v>126</v>
      </c>
      <c r="AV11" t="s">
        <v>127</v>
      </c>
      <c r="AW11" t="s">
        <v>128</v>
      </c>
      <c r="BA11" t="s">
        <v>289</v>
      </c>
      <c r="BB11" t="s">
        <v>290</v>
      </c>
      <c r="BC11" t="s">
        <v>26</v>
      </c>
      <c r="BD11" t="s">
        <v>222</v>
      </c>
      <c r="BE11" t="s">
        <v>282</v>
      </c>
      <c r="BF11" t="s">
        <v>291</v>
      </c>
      <c r="BG11" t="s">
        <v>139</v>
      </c>
      <c r="BH11" t="s">
        <v>292</v>
      </c>
      <c r="BI11" t="s">
        <v>24</v>
      </c>
      <c r="BJ11" t="s">
        <v>293</v>
      </c>
      <c r="BK11" t="s">
        <v>74</v>
      </c>
      <c r="BO11" t="s">
        <v>323</v>
      </c>
      <c r="BP11" t="s">
        <v>318</v>
      </c>
      <c r="BQ11" t="s">
        <v>26</v>
      </c>
      <c r="BR11" t="s">
        <v>324</v>
      </c>
      <c r="BS11" t="s">
        <v>282</v>
      </c>
      <c r="BT11" t="s">
        <v>4</v>
      </c>
      <c r="BU11" t="s">
        <v>325</v>
      </c>
      <c r="BV11" t="s">
        <v>326</v>
      </c>
      <c r="BW11" t="s">
        <v>324</v>
      </c>
      <c r="BX11" t="s">
        <v>241</v>
      </c>
      <c r="BY11" t="s">
        <v>327</v>
      </c>
      <c r="CC11" t="s">
        <v>115</v>
      </c>
      <c r="CD11" t="s">
        <v>42</v>
      </c>
      <c r="CE11" t="s">
        <v>26</v>
      </c>
      <c r="CF11" t="s">
        <v>5</v>
      </c>
      <c r="CG11" t="s">
        <v>8</v>
      </c>
      <c r="CH11" t="s">
        <v>116</v>
      </c>
      <c r="CI11" t="s">
        <v>105</v>
      </c>
      <c r="CJ11" t="s">
        <v>117</v>
      </c>
      <c r="CK11" t="s">
        <v>118</v>
      </c>
      <c r="CL11" t="s">
        <v>86</v>
      </c>
      <c r="CM11" t="s">
        <v>119</v>
      </c>
      <c r="CQ11" t="s">
        <v>65</v>
      </c>
      <c r="CR11" t="s">
        <v>66</v>
      </c>
      <c r="CS11" t="s">
        <v>43</v>
      </c>
      <c r="CT11" t="s">
        <v>35</v>
      </c>
      <c r="CU11" t="s">
        <v>67</v>
      </c>
      <c r="CV11" t="s">
        <v>68</v>
      </c>
      <c r="CW11" t="s">
        <v>69</v>
      </c>
      <c r="CX11" t="s">
        <v>26</v>
      </c>
      <c r="CY11" t="s">
        <v>28</v>
      </c>
      <c r="CZ11" t="s">
        <v>39</v>
      </c>
      <c r="DA11" t="s">
        <v>70</v>
      </c>
      <c r="DE11" t="s">
        <v>65</v>
      </c>
      <c r="DF11" t="s">
        <v>66</v>
      </c>
      <c r="DG11" t="s">
        <v>43</v>
      </c>
      <c r="DH11" t="s">
        <v>35</v>
      </c>
      <c r="DI11" t="s">
        <v>67</v>
      </c>
      <c r="DJ11" t="s">
        <v>68</v>
      </c>
      <c r="DK11" t="s">
        <v>69</v>
      </c>
      <c r="DL11" t="s">
        <v>26</v>
      </c>
      <c r="DM11" t="s">
        <v>28</v>
      </c>
      <c r="DN11" t="s">
        <v>39</v>
      </c>
      <c r="DO11" t="s">
        <v>70</v>
      </c>
      <c r="DR11" t="s">
        <v>380</v>
      </c>
      <c r="DS11" t="s">
        <v>26</v>
      </c>
      <c r="DT11" t="s">
        <v>127</v>
      </c>
      <c r="DU11" t="s">
        <v>130</v>
      </c>
      <c r="DV11" t="s">
        <v>242</v>
      </c>
      <c r="DW11" t="s">
        <v>327</v>
      </c>
      <c r="DX11" t="s">
        <v>344</v>
      </c>
      <c r="DY11" t="s">
        <v>28</v>
      </c>
      <c r="DZ11" t="s">
        <v>83</v>
      </c>
      <c r="EA11" t="s">
        <v>37</v>
      </c>
      <c r="EB11" t="s">
        <v>381</v>
      </c>
      <c r="EQ11" t="s">
        <v>511</v>
      </c>
      <c r="ER11" t="s">
        <v>95</v>
      </c>
      <c r="ES11" t="s">
        <v>26</v>
      </c>
      <c r="ET11" t="s">
        <v>96</v>
      </c>
      <c r="EU11" t="s">
        <v>97</v>
      </c>
      <c r="EV11" t="s">
        <v>98</v>
      </c>
      <c r="EW11" t="s">
        <v>99</v>
      </c>
      <c r="EX11" t="s">
        <v>100</v>
      </c>
      <c r="EY11" t="s">
        <v>26</v>
      </c>
      <c r="EZ11" t="s">
        <v>101</v>
      </c>
      <c r="FA11" t="s">
        <v>102</v>
      </c>
      <c r="FB11" t="s">
        <v>103</v>
      </c>
      <c r="FD11" t="s">
        <v>514</v>
      </c>
      <c r="FE11" t="s">
        <v>323</v>
      </c>
      <c r="FF11" t="s">
        <v>318</v>
      </c>
      <c r="FG11" t="s">
        <v>26</v>
      </c>
      <c r="FH11" t="s">
        <v>324</v>
      </c>
      <c r="FI11" t="s">
        <v>282</v>
      </c>
      <c r="FJ11" t="s">
        <v>4</v>
      </c>
      <c r="FK11" t="s">
        <v>325</v>
      </c>
      <c r="FL11" t="s">
        <v>326</v>
      </c>
      <c r="FM11" t="s">
        <v>324</v>
      </c>
      <c r="FN11" t="s">
        <v>241</v>
      </c>
      <c r="FO11" t="s">
        <v>327</v>
      </c>
      <c r="FR11" t="s">
        <v>95</v>
      </c>
      <c r="FS11" t="s">
        <v>26</v>
      </c>
      <c r="FT11" t="s">
        <v>96</v>
      </c>
      <c r="FU11" t="s">
        <v>97</v>
      </c>
      <c r="FV11" t="s">
        <v>98</v>
      </c>
      <c r="FW11" t="s">
        <v>99</v>
      </c>
      <c r="FX11" t="s">
        <v>100</v>
      </c>
      <c r="FY11" t="s">
        <v>26</v>
      </c>
      <c r="FZ11" t="s">
        <v>101</v>
      </c>
      <c r="GA11" t="s">
        <v>102</v>
      </c>
      <c r="GB11" t="s">
        <v>103</v>
      </c>
      <c r="GE11" t="s">
        <v>323</v>
      </c>
      <c r="GF11" t="s">
        <v>318</v>
      </c>
      <c r="GG11" t="s">
        <v>26</v>
      </c>
      <c r="GH11" t="s">
        <v>324</v>
      </c>
      <c r="GI11" t="s">
        <v>282</v>
      </c>
      <c r="GJ11" t="s">
        <v>4</v>
      </c>
      <c r="GK11" t="s">
        <v>325</v>
      </c>
      <c r="GL11" t="s">
        <v>326</v>
      </c>
      <c r="GM11" t="s">
        <v>324</v>
      </c>
      <c r="GN11" t="s">
        <v>241</v>
      </c>
      <c r="GO11" t="s">
        <v>327</v>
      </c>
    </row>
    <row r="12" spans="1:197" x14ac:dyDescent="0.25">
      <c r="A12" t="s">
        <v>77</v>
      </c>
      <c r="B12" t="s">
        <v>78</v>
      </c>
      <c r="C12" t="s">
        <v>26</v>
      </c>
      <c r="D12" t="s">
        <v>6</v>
      </c>
      <c r="E12" t="s">
        <v>43</v>
      </c>
      <c r="F12" t="s">
        <v>79</v>
      </c>
      <c r="G12" t="s">
        <v>80</v>
      </c>
      <c r="H12" t="s">
        <v>25</v>
      </c>
      <c r="I12" t="s">
        <v>62</v>
      </c>
      <c r="J12" t="s">
        <v>42</v>
      </c>
      <c r="K12" t="s">
        <v>81</v>
      </c>
      <c r="Y12" t="s">
        <v>104</v>
      </c>
      <c r="Z12" t="s">
        <v>26</v>
      </c>
      <c r="AA12" t="s">
        <v>54</v>
      </c>
      <c r="AB12" t="s">
        <v>105</v>
      </c>
      <c r="AC12" t="s">
        <v>106</v>
      </c>
      <c r="AD12" t="s">
        <v>107</v>
      </c>
      <c r="AE12" t="s">
        <v>8</v>
      </c>
      <c r="AF12" t="s">
        <v>73</v>
      </c>
      <c r="AG12" t="s">
        <v>27</v>
      </c>
      <c r="AH12" t="s">
        <v>108</v>
      </c>
      <c r="AI12" t="s">
        <v>109</v>
      </c>
      <c r="AM12" t="s">
        <v>244</v>
      </c>
      <c r="AN12" t="s">
        <v>26</v>
      </c>
      <c r="AO12" t="s">
        <v>130</v>
      </c>
      <c r="AP12" t="s">
        <v>52</v>
      </c>
      <c r="AQ12" t="s">
        <v>127</v>
      </c>
      <c r="AR12" t="s">
        <v>207</v>
      </c>
      <c r="AS12" t="s">
        <v>245</v>
      </c>
      <c r="AT12" t="s">
        <v>96</v>
      </c>
      <c r="AU12" t="s">
        <v>132</v>
      </c>
      <c r="AV12" t="s">
        <v>184</v>
      </c>
      <c r="AW12" t="s">
        <v>121</v>
      </c>
      <c r="BA12" t="s">
        <v>321</v>
      </c>
      <c r="BB12" t="s">
        <v>204</v>
      </c>
      <c r="BC12" t="s">
        <v>199</v>
      </c>
      <c r="BD12" t="s">
        <v>26</v>
      </c>
      <c r="BE12" t="s">
        <v>139</v>
      </c>
      <c r="BF12" t="s">
        <v>48</v>
      </c>
      <c r="BG12" t="s">
        <v>148</v>
      </c>
      <c r="BH12" t="s">
        <v>52</v>
      </c>
      <c r="BI12" t="s">
        <v>322</v>
      </c>
      <c r="BJ12" t="s">
        <v>91</v>
      </c>
      <c r="BK12" t="s">
        <v>4</v>
      </c>
      <c r="BO12" t="s">
        <v>343</v>
      </c>
      <c r="BP12" t="s">
        <v>29</v>
      </c>
      <c r="BQ12" t="s">
        <v>26</v>
      </c>
      <c r="BR12" t="s">
        <v>60</v>
      </c>
      <c r="BS12" t="s">
        <v>344</v>
      </c>
      <c r="BT12" t="s">
        <v>62</v>
      </c>
      <c r="BU12" t="s">
        <v>8</v>
      </c>
      <c r="BV12" t="s">
        <v>84</v>
      </c>
      <c r="BW12" t="s">
        <v>36</v>
      </c>
      <c r="BX12" t="s">
        <v>7</v>
      </c>
      <c r="BY12" t="s">
        <v>20</v>
      </c>
      <c r="CC12" t="s">
        <v>284</v>
      </c>
      <c r="CD12" t="s">
        <v>57</v>
      </c>
      <c r="CE12" t="s">
        <v>56</v>
      </c>
      <c r="CF12" t="s">
        <v>285</v>
      </c>
      <c r="CG12" t="s">
        <v>2</v>
      </c>
      <c r="CH12" t="s">
        <v>175</v>
      </c>
      <c r="CI12" t="s">
        <v>286</v>
      </c>
      <c r="CJ12" t="s">
        <v>287</v>
      </c>
      <c r="CK12" t="s">
        <v>288</v>
      </c>
      <c r="CL12" t="s">
        <v>26</v>
      </c>
      <c r="CM12" t="s">
        <v>24</v>
      </c>
      <c r="CQ12" t="s">
        <v>95</v>
      </c>
      <c r="CR12" t="s">
        <v>26</v>
      </c>
      <c r="CS12" t="s">
        <v>96</v>
      </c>
      <c r="CT12" t="s">
        <v>97</v>
      </c>
      <c r="CU12" t="s">
        <v>98</v>
      </c>
      <c r="CV12" t="s">
        <v>99</v>
      </c>
      <c r="CW12" t="s">
        <v>100</v>
      </c>
      <c r="CX12" t="s">
        <v>26</v>
      </c>
      <c r="CY12" t="s">
        <v>101</v>
      </c>
      <c r="CZ12" t="s">
        <v>102</v>
      </c>
      <c r="DA12" t="s">
        <v>103</v>
      </c>
      <c r="DE12" t="s">
        <v>95</v>
      </c>
      <c r="DF12" t="s">
        <v>26</v>
      </c>
      <c r="DG12" t="s">
        <v>96</v>
      </c>
      <c r="DH12" t="s">
        <v>97</v>
      </c>
      <c r="DI12" t="s">
        <v>98</v>
      </c>
      <c r="DJ12" t="s">
        <v>99</v>
      </c>
      <c r="DK12" t="s">
        <v>100</v>
      </c>
      <c r="DL12" t="s">
        <v>26</v>
      </c>
      <c r="DM12" t="s">
        <v>101</v>
      </c>
      <c r="DN12" t="s">
        <v>102</v>
      </c>
      <c r="DO12" t="s">
        <v>103</v>
      </c>
      <c r="DR12" t="s">
        <v>77</v>
      </c>
      <c r="DS12" t="s">
        <v>78</v>
      </c>
      <c r="DT12" t="s">
        <v>26</v>
      </c>
      <c r="DU12" t="s">
        <v>6</v>
      </c>
      <c r="DV12" t="s">
        <v>43</v>
      </c>
      <c r="DW12" t="s">
        <v>79</v>
      </c>
      <c r="DX12" t="s">
        <v>80</v>
      </c>
      <c r="DY12" t="s">
        <v>25</v>
      </c>
      <c r="DZ12" t="s">
        <v>62</v>
      </c>
      <c r="EA12" t="s">
        <v>42</v>
      </c>
      <c r="EB12" t="s">
        <v>81</v>
      </c>
      <c r="EQ12">
        <f>8/11*100</f>
        <v>72.727272727272734</v>
      </c>
      <c r="ER12" t="s">
        <v>352</v>
      </c>
      <c r="ES12" t="s">
        <v>51</v>
      </c>
      <c r="ET12" t="s">
        <v>353</v>
      </c>
      <c r="EU12" t="s">
        <v>344</v>
      </c>
      <c r="EV12" t="s">
        <v>60</v>
      </c>
      <c r="EW12" t="s">
        <v>26</v>
      </c>
      <c r="EX12" t="s">
        <v>24</v>
      </c>
      <c r="EY12" t="s">
        <v>96</v>
      </c>
      <c r="EZ12" t="s">
        <v>354</v>
      </c>
      <c r="FA12" t="s">
        <v>163</v>
      </c>
      <c r="FB12" t="s">
        <v>81</v>
      </c>
      <c r="FD12">
        <f>9/11*100</f>
        <v>81.818181818181827</v>
      </c>
      <c r="FE12" t="s">
        <v>95</v>
      </c>
      <c r="FF12" t="s">
        <v>26</v>
      </c>
      <c r="FG12" t="s">
        <v>96</v>
      </c>
      <c r="FH12" t="s">
        <v>97</v>
      </c>
      <c r="FI12" t="s">
        <v>98</v>
      </c>
      <c r="FJ12" t="s">
        <v>99</v>
      </c>
      <c r="FK12" t="s">
        <v>100</v>
      </c>
      <c r="FL12" t="s">
        <v>26</v>
      </c>
      <c r="FM12" t="s">
        <v>101</v>
      </c>
      <c r="FN12" t="s">
        <v>102</v>
      </c>
      <c r="FO12" t="s">
        <v>103</v>
      </c>
      <c r="FR12" t="s">
        <v>352</v>
      </c>
      <c r="FS12" t="s">
        <v>51</v>
      </c>
      <c r="FT12" t="s">
        <v>353</v>
      </c>
      <c r="FU12" t="s">
        <v>344</v>
      </c>
      <c r="FV12" t="s">
        <v>60</v>
      </c>
      <c r="FW12" t="s">
        <v>26</v>
      </c>
      <c r="FX12" t="s">
        <v>24</v>
      </c>
      <c r="FY12" t="s">
        <v>96</v>
      </c>
      <c r="FZ12" t="s">
        <v>354</v>
      </c>
      <c r="GA12" t="s">
        <v>163</v>
      </c>
      <c r="GB12" t="s">
        <v>81</v>
      </c>
      <c r="GE12" t="s">
        <v>95</v>
      </c>
      <c r="GF12" t="s">
        <v>26</v>
      </c>
      <c r="GG12" t="s">
        <v>96</v>
      </c>
      <c r="GH12" t="s">
        <v>97</v>
      </c>
      <c r="GI12" t="s">
        <v>98</v>
      </c>
      <c r="GJ12" t="s">
        <v>99</v>
      </c>
      <c r="GK12" t="s">
        <v>100</v>
      </c>
      <c r="GL12" t="s">
        <v>26</v>
      </c>
      <c r="GM12" t="s">
        <v>101</v>
      </c>
      <c r="GN12" t="s">
        <v>102</v>
      </c>
      <c r="GO12" t="s">
        <v>103</v>
      </c>
    </row>
    <row r="13" spans="1:197" x14ac:dyDescent="0.25">
      <c r="A13" t="s">
        <v>82</v>
      </c>
      <c r="B13" t="s">
        <v>83</v>
      </c>
      <c r="C13" t="s">
        <v>84</v>
      </c>
      <c r="D13" t="s">
        <v>85</v>
      </c>
      <c r="E13" t="s">
        <v>86</v>
      </c>
      <c r="F13" t="s">
        <v>43</v>
      </c>
      <c r="G13" t="s">
        <v>87</v>
      </c>
      <c r="H13" t="s">
        <v>88</v>
      </c>
      <c r="I13" t="s">
        <v>62</v>
      </c>
      <c r="J13" t="s">
        <v>26</v>
      </c>
      <c r="K13" t="s">
        <v>8</v>
      </c>
      <c r="Y13" t="s">
        <v>115</v>
      </c>
      <c r="Z13" t="s">
        <v>42</v>
      </c>
      <c r="AA13" t="s">
        <v>26</v>
      </c>
      <c r="AB13" t="s">
        <v>5</v>
      </c>
      <c r="AC13" t="s">
        <v>8</v>
      </c>
      <c r="AD13" t="s">
        <v>116</v>
      </c>
      <c r="AE13" t="s">
        <v>105</v>
      </c>
      <c r="AF13" t="s">
        <v>117</v>
      </c>
      <c r="AG13" t="s">
        <v>118</v>
      </c>
      <c r="AH13" t="s">
        <v>86</v>
      </c>
      <c r="AI13" t="s">
        <v>119</v>
      </c>
      <c r="AM13" t="s">
        <v>284</v>
      </c>
      <c r="AN13" t="s">
        <v>57</v>
      </c>
      <c r="AO13" t="s">
        <v>56</v>
      </c>
      <c r="AP13" t="s">
        <v>285</v>
      </c>
      <c r="AQ13" t="s">
        <v>2</v>
      </c>
      <c r="AR13" t="s">
        <v>175</v>
      </c>
      <c r="AS13" t="s">
        <v>286</v>
      </c>
      <c r="AT13" t="s">
        <v>287</v>
      </c>
      <c r="AU13" t="s">
        <v>288</v>
      </c>
      <c r="AV13" t="s">
        <v>26</v>
      </c>
      <c r="AW13" t="s">
        <v>24</v>
      </c>
      <c r="BA13" t="s">
        <v>323</v>
      </c>
      <c r="BB13" t="s">
        <v>318</v>
      </c>
      <c r="BC13" t="s">
        <v>26</v>
      </c>
      <c r="BD13" t="s">
        <v>324</v>
      </c>
      <c r="BE13" t="s">
        <v>282</v>
      </c>
      <c r="BF13" t="s">
        <v>4</v>
      </c>
      <c r="BG13" t="s">
        <v>325</v>
      </c>
      <c r="BH13" t="s">
        <v>326</v>
      </c>
      <c r="BI13" t="s">
        <v>324</v>
      </c>
      <c r="BJ13" t="s">
        <v>241</v>
      </c>
      <c r="BK13" t="s">
        <v>327</v>
      </c>
      <c r="BO13" t="s">
        <v>352</v>
      </c>
      <c r="BP13" t="s">
        <v>51</v>
      </c>
      <c r="BQ13" t="s">
        <v>353</v>
      </c>
      <c r="BR13" t="s">
        <v>344</v>
      </c>
      <c r="BS13" t="s">
        <v>60</v>
      </c>
      <c r="BT13" t="s">
        <v>26</v>
      </c>
      <c r="BU13" t="s">
        <v>24</v>
      </c>
      <c r="BV13" t="s">
        <v>96</v>
      </c>
      <c r="BW13" t="s">
        <v>354</v>
      </c>
      <c r="BX13" t="s">
        <v>163</v>
      </c>
      <c r="BY13" t="s">
        <v>81</v>
      </c>
      <c r="CC13" t="s">
        <v>289</v>
      </c>
      <c r="CD13" t="s">
        <v>290</v>
      </c>
      <c r="CE13" t="s">
        <v>26</v>
      </c>
      <c r="CF13" t="s">
        <v>222</v>
      </c>
      <c r="CG13" t="s">
        <v>282</v>
      </c>
      <c r="CH13" t="s">
        <v>291</v>
      </c>
      <c r="CI13" t="s">
        <v>139</v>
      </c>
      <c r="CJ13" t="s">
        <v>292</v>
      </c>
      <c r="CK13" t="s">
        <v>24</v>
      </c>
      <c r="CL13" t="s">
        <v>293</v>
      </c>
      <c r="CM13" t="s">
        <v>74</v>
      </c>
      <c r="CQ13" t="s">
        <v>115</v>
      </c>
      <c r="CR13" t="s">
        <v>42</v>
      </c>
      <c r="CS13" t="s">
        <v>26</v>
      </c>
      <c r="CT13" t="s">
        <v>5</v>
      </c>
      <c r="CU13" t="s">
        <v>8</v>
      </c>
      <c r="CV13" t="s">
        <v>116</v>
      </c>
      <c r="CW13" t="s">
        <v>105</v>
      </c>
      <c r="CX13" t="s">
        <v>117</v>
      </c>
      <c r="CY13" t="s">
        <v>118</v>
      </c>
      <c r="CZ13" t="s">
        <v>86</v>
      </c>
      <c r="DA13" t="s">
        <v>119</v>
      </c>
      <c r="DE13" t="s">
        <v>115</v>
      </c>
      <c r="DF13" t="s">
        <v>42</v>
      </c>
      <c r="DG13" t="s">
        <v>26</v>
      </c>
      <c r="DH13" t="s">
        <v>5</v>
      </c>
      <c r="DI13" t="s">
        <v>8</v>
      </c>
      <c r="DJ13" t="s">
        <v>116</v>
      </c>
      <c r="DK13" t="s">
        <v>105</v>
      </c>
      <c r="DL13" t="s">
        <v>117</v>
      </c>
      <c r="DM13" t="s">
        <v>118</v>
      </c>
      <c r="DN13" t="s">
        <v>86</v>
      </c>
      <c r="DO13" t="s">
        <v>119</v>
      </c>
      <c r="DR13" t="s">
        <v>256</v>
      </c>
      <c r="DS13" t="s">
        <v>37</v>
      </c>
      <c r="DT13" t="s">
        <v>183</v>
      </c>
      <c r="DU13" t="s">
        <v>26</v>
      </c>
      <c r="DV13" t="s">
        <v>27</v>
      </c>
      <c r="DW13" t="s">
        <v>148</v>
      </c>
      <c r="DX13" t="s">
        <v>105</v>
      </c>
      <c r="DY13" t="s">
        <v>79</v>
      </c>
      <c r="DZ13" t="s">
        <v>28</v>
      </c>
      <c r="EA13" t="s">
        <v>62</v>
      </c>
      <c r="EB13" t="s">
        <v>73</v>
      </c>
      <c r="ED13" t="s">
        <v>512</v>
      </c>
      <c r="EE13" t="s">
        <v>65</v>
      </c>
      <c r="EF13" t="s">
        <v>66</v>
      </c>
      <c r="EG13" t="s">
        <v>43</v>
      </c>
      <c r="EH13" t="s">
        <v>35</v>
      </c>
      <c r="EI13" t="s">
        <v>67</v>
      </c>
      <c r="EJ13" t="s">
        <v>68</v>
      </c>
      <c r="EK13" t="s">
        <v>69</v>
      </c>
      <c r="EL13" t="s">
        <v>26</v>
      </c>
      <c r="EM13" t="s">
        <v>28</v>
      </c>
      <c r="EN13" t="s">
        <v>39</v>
      </c>
      <c r="EO13" t="s">
        <v>70</v>
      </c>
      <c r="ER13" t="s">
        <v>65</v>
      </c>
      <c r="ES13" t="s">
        <v>66</v>
      </c>
      <c r="ET13" t="s">
        <v>43</v>
      </c>
      <c r="EU13" t="s">
        <v>35</v>
      </c>
      <c r="EV13" t="s">
        <v>67</v>
      </c>
      <c r="EW13" t="s">
        <v>68</v>
      </c>
      <c r="EX13" t="s">
        <v>69</v>
      </c>
      <c r="EY13" t="s">
        <v>26</v>
      </c>
      <c r="EZ13" t="s">
        <v>28</v>
      </c>
      <c r="FA13" t="s">
        <v>39</v>
      </c>
      <c r="FB13" t="s">
        <v>70</v>
      </c>
      <c r="FE13" t="s">
        <v>352</v>
      </c>
      <c r="FF13" t="s">
        <v>51</v>
      </c>
      <c r="FG13" t="s">
        <v>353</v>
      </c>
      <c r="FH13" t="s">
        <v>344</v>
      </c>
      <c r="FI13" t="s">
        <v>60</v>
      </c>
      <c r="FJ13" t="s">
        <v>26</v>
      </c>
      <c r="FK13" t="s">
        <v>24</v>
      </c>
      <c r="FL13" t="s">
        <v>96</v>
      </c>
      <c r="FM13" t="s">
        <v>354</v>
      </c>
      <c r="FN13" t="s">
        <v>163</v>
      </c>
      <c r="FO13" t="s">
        <v>81</v>
      </c>
      <c r="FR13" t="s">
        <v>65</v>
      </c>
      <c r="FS13" t="s">
        <v>66</v>
      </c>
      <c r="FT13" t="s">
        <v>43</v>
      </c>
      <c r="FU13" t="s">
        <v>35</v>
      </c>
      <c r="FV13" t="s">
        <v>67</v>
      </c>
      <c r="FW13" t="s">
        <v>68</v>
      </c>
      <c r="FX13" t="s">
        <v>69</v>
      </c>
      <c r="FY13" t="s">
        <v>26</v>
      </c>
      <c r="FZ13" t="s">
        <v>28</v>
      </c>
      <c r="GA13" t="s">
        <v>39</v>
      </c>
      <c r="GB13" t="s">
        <v>70</v>
      </c>
      <c r="GE13" t="s">
        <v>352</v>
      </c>
      <c r="GF13" t="s">
        <v>51</v>
      </c>
      <c r="GG13" t="s">
        <v>353</v>
      </c>
      <c r="GH13" t="s">
        <v>344</v>
      </c>
      <c r="GI13" t="s">
        <v>60</v>
      </c>
      <c r="GJ13" t="s">
        <v>26</v>
      </c>
      <c r="GK13" t="s">
        <v>24</v>
      </c>
      <c r="GL13" t="s">
        <v>96</v>
      </c>
      <c r="GM13" t="s">
        <v>354</v>
      </c>
      <c r="GN13" t="s">
        <v>163</v>
      </c>
      <c r="GO13" t="s">
        <v>81</v>
      </c>
    </row>
    <row r="14" spans="1:197" x14ac:dyDescent="0.25">
      <c r="A14" t="s">
        <v>89</v>
      </c>
      <c r="B14" t="s">
        <v>90</v>
      </c>
      <c r="C14" t="s">
        <v>2</v>
      </c>
      <c r="D14" t="s">
        <v>91</v>
      </c>
      <c r="E14" t="s">
        <v>92</v>
      </c>
      <c r="F14" t="s">
        <v>26</v>
      </c>
      <c r="G14" t="s">
        <v>6</v>
      </c>
      <c r="H14" t="s">
        <v>74</v>
      </c>
      <c r="I14" t="s">
        <v>79</v>
      </c>
      <c r="J14" t="s">
        <v>93</v>
      </c>
      <c r="K14" t="s">
        <v>94</v>
      </c>
      <c r="Y14" t="s">
        <v>120</v>
      </c>
      <c r="Z14" t="s">
        <v>26</v>
      </c>
      <c r="AA14" t="s">
        <v>93</v>
      </c>
      <c r="AB14" t="s">
        <v>121</v>
      </c>
      <c r="AC14" t="s">
        <v>122</v>
      </c>
      <c r="AD14" t="s">
        <v>123</v>
      </c>
      <c r="AE14" t="s">
        <v>124</v>
      </c>
      <c r="AF14" t="s">
        <v>125</v>
      </c>
      <c r="AG14" t="s">
        <v>126</v>
      </c>
      <c r="AH14" t="s">
        <v>127</v>
      </c>
      <c r="AI14" t="s">
        <v>128</v>
      </c>
      <c r="AM14" t="s">
        <v>289</v>
      </c>
      <c r="AN14" t="s">
        <v>290</v>
      </c>
      <c r="AO14" t="s">
        <v>26</v>
      </c>
      <c r="AP14" t="s">
        <v>222</v>
      </c>
      <c r="AQ14" t="s">
        <v>282</v>
      </c>
      <c r="AR14" t="s">
        <v>291</v>
      </c>
      <c r="AS14" t="s">
        <v>139</v>
      </c>
      <c r="AT14" t="s">
        <v>292</v>
      </c>
      <c r="AU14" t="s">
        <v>24</v>
      </c>
      <c r="AV14" t="s">
        <v>293</v>
      </c>
      <c r="AW14" t="s">
        <v>74</v>
      </c>
      <c r="BA14" t="s">
        <v>331</v>
      </c>
      <c r="BB14" t="s">
        <v>121</v>
      </c>
      <c r="BC14" t="s">
        <v>242</v>
      </c>
      <c r="BD14" t="s">
        <v>241</v>
      </c>
      <c r="BE14" t="s">
        <v>52</v>
      </c>
      <c r="BF14" t="s">
        <v>330</v>
      </c>
      <c r="BG14" t="s">
        <v>4</v>
      </c>
      <c r="BH14" t="s">
        <v>26</v>
      </c>
      <c r="BI14" t="s">
        <v>245</v>
      </c>
      <c r="BJ14" t="s">
        <v>28</v>
      </c>
      <c r="BK14" t="s">
        <v>277</v>
      </c>
      <c r="BO14" t="s">
        <v>380</v>
      </c>
      <c r="BP14" t="s">
        <v>26</v>
      </c>
      <c r="BQ14" t="s">
        <v>127</v>
      </c>
      <c r="BR14" t="s">
        <v>130</v>
      </c>
      <c r="BS14" t="s">
        <v>242</v>
      </c>
      <c r="BT14" t="s">
        <v>327</v>
      </c>
      <c r="BU14" t="s">
        <v>344</v>
      </c>
      <c r="BV14" t="s">
        <v>28</v>
      </c>
      <c r="BW14" t="s">
        <v>83</v>
      </c>
      <c r="BX14" t="s">
        <v>37</v>
      </c>
      <c r="BY14" t="s">
        <v>381</v>
      </c>
      <c r="CC14" t="s">
        <v>321</v>
      </c>
      <c r="CD14" t="s">
        <v>204</v>
      </c>
      <c r="CE14" t="s">
        <v>199</v>
      </c>
      <c r="CF14" t="s">
        <v>26</v>
      </c>
      <c r="CG14" t="s">
        <v>139</v>
      </c>
      <c r="CH14" t="s">
        <v>48</v>
      </c>
      <c r="CI14" t="s">
        <v>148</v>
      </c>
      <c r="CJ14" t="s">
        <v>52</v>
      </c>
      <c r="CK14" t="s">
        <v>322</v>
      </c>
      <c r="CL14" t="s">
        <v>91</v>
      </c>
      <c r="CM14" t="s">
        <v>4</v>
      </c>
      <c r="CQ14" t="s">
        <v>284</v>
      </c>
      <c r="CR14" t="s">
        <v>57</v>
      </c>
      <c r="CS14" t="s">
        <v>56</v>
      </c>
      <c r="CT14" t="s">
        <v>285</v>
      </c>
      <c r="CU14" t="s">
        <v>2</v>
      </c>
      <c r="CV14" t="s">
        <v>175</v>
      </c>
      <c r="CW14" t="s">
        <v>286</v>
      </c>
      <c r="CX14" t="s">
        <v>287</v>
      </c>
      <c r="CY14" t="s">
        <v>288</v>
      </c>
      <c r="CZ14" t="s">
        <v>26</v>
      </c>
      <c r="DA14" t="s">
        <v>24</v>
      </c>
      <c r="DE14" t="s">
        <v>284</v>
      </c>
      <c r="DF14" t="s">
        <v>57</v>
      </c>
      <c r="DG14" t="s">
        <v>56</v>
      </c>
      <c r="DH14" t="s">
        <v>285</v>
      </c>
      <c r="DI14" t="s">
        <v>2</v>
      </c>
      <c r="DJ14" t="s">
        <v>175</v>
      </c>
      <c r="DK14" t="s">
        <v>286</v>
      </c>
      <c r="DL14" t="s">
        <v>287</v>
      </c>
      <c r="DM14" t="s">
        <v>288</v>
      </c>
      <c r="DN14" t="s">
        <v>26</v>
      </c>
      <c r="DO14" t="s">
        <v>24</v>
      </c>
      <c r="ED14">
        <f>7/10*100</f>
        <v>70</v>
      </c>
      <c r="EE14" t="s">
        <v>380</v>
      </c>
      <c r="EF14" t="s">
        <v>26</v>
      </c>
      <c r="EG14" t="s">
        <v>127</v>
      </c>
      <c r="EH14" t="s">
        <v>130</v>
      </c>
      <c r="EI14" t="s">
        <v>242</v>
      </c>
      <c r="EJ14" t="s">
        <v>327</v>
      </c>
      <c r="EK14" t="s">
        <v>344</v>
      </c>
      <c r="EL14" t="s">
        <v>28</v>
      </c>
      <c r="EM14" t="s">
        <v>83</v>
      </c>
      <c r="EN14" t="s">
        <v>37</v>
      </c>
      <c r="EO14" t="s">
        <v>381</v>
      </c>
      <c r="ER14" t="s">
        <v>380</v>
      </c>
      <c r="ES14" t="s">
        <v>26</v>
      </c>
      <c r="ET14" t="s">
        <v>127</v>
      </c>
      <c r="EU14" t="s">
        <v>130</v>
      </c>
      <c r="EV14" t="s">
        <v>242</v>
      </c>
      <c r="EW14" t="s">
        <v>327</v>
      </c>
      <c r="EX14" t="s">
        <v>344</v>
      </c>
      <c r="EY14" t="s">
        <v>28</v>
      </c>
      <c r="EZ14" t="s">
        <v>83</v>
      </c>
      <c r="FA14" t="s">
        <v>37</v>
      </c>
      <c r="FB14" t="s">
        <v>381</v>
      </c>
      <c r="FE14" t="s">
        <v>65</v>
      </c>
      <c r="FF14" t="s">
        <v>66</v>
      </c>
      <c r="FG14" t="s">
        <v>43</v>
      </c>
      <c r="FH14" t="s">
        <v>35</v>
      </c>
      <c r="FI14" t="s">
        <v>67</v>
      </c>
      <c r="FJ14" t="s">
        <v>68</v>
      </c>
      <c r="FK14" t="s">
        <v>69</v>
      </c>
      <c r="FL14" t="s">
        <v>26</v>
      </c>
      <c r="FM14" t="s">
        <v>28</v>
      </c>
      <c r="FN14" t="s">
        <v>39</v>
      </c>
      <c r="FO14" t="s">
        <v>70</v>
      </c>
      <c r="FR14" t="s">
        <v>380</v>
      </c>
      <c r="FS14" t="s">
        <v>26</v>
      </c>
      <c r="FT14" t="s">
        <v>127</v>
      </c>
      <c r="FU14" t="s">
        <v>130</v>
      </c>
      <c r="FV14" t="s">
        <v>242</v>
      </c>
      <c r="FW14" t="s">
        <v>327</v>
      </c>
      <c r="FX14" t="s">
        <v>344</v>
      </c>
      <c r="FY14" t="s">
        <v>28</v>
      </c>
      <c r="FZ14" t="s">
        <v>83</v>
      </c>
      <c r="GA14" t="s">
        <v>37</v>
      </c>
      <c r="GB14" t="s">
        <v>381</v>
      </c>
      <c r="GE14" t="s">
        <v>65</v>
      </c>
      <c r="GF14" t="s">
        <v>66</v>
      </c>
      <c r="GG14" t="s">
        <v>43</v>
      </c>
      <c r="GH14" t="s">
        <v>35</v>
      </c>
      <c r="GI14" t="s">
        <v>67</v>
      </c>
      <c r="GJ14" t="s">
        <v>68</v>
      </c>
      <c r="GK14" t="s">
        <v>69</v>
      </c>
      <c r="GL14" t="s">
        <v>26</v>
      </c>
      <c r="GM14" t="s">
        <v>28</v>
      </c>
      <c r="GN14" t="s">
        <v>39</v>
      </c>
      <c r="GO14" t="s">
        <v>70</v>
      </c>
    </row>
    <row r="15" spans="1:197" x14ac:dyDescent="0.25">
      <c r="A15" t="s">
        <v>95</v>
      </c>
      <c r="B15" t="s">
        <v>26</v>
      </c>
      <c r="C15" t="s">
        <v>96</v>
      </c>
      <c r="D15" t="s">
        <v>97</v>
      </c>
      <c r="E15" t="s">
        <v>98</v>
      </c>
      <c r="F15" t="s">
        <v>99</v>
      </c>
      <c r="G15" t="s">
        <v>100</v>
      </c>
      <c r="H15" t="s">
        <v>26</v>
      </c>
      <c r="I15" t="s">
        <v>101</v>
      </c>
      <c r="J15" t="s">
        <v>102</v>
      </c>
      <c r="K15" t="s">
        <v>103</v>
      </c>
      <c r="N15" t="s">
        <v>406</v>
      </c>
      <c r="Y15" t="s">
        <v>129</v>
      </c>
      <c r="Z15" t="s">
        <v>26</v>
      </c>
      <c r="AA15" t="s">
        <v>130</v>
      </c>
      <c r="AB15" t="s">
        <v>131</v>
      </c>
      <c r="AC15" t="s">
        <v>27</v>
      </c>
      <c r="AD15" t="s">
        <v>132</v>
      </c>
      <c r="AE15" t="s">
        <v>133</v>
      </c>
      <c r="AF15" t="s">
        <v>134</v>
      </c>
      <c r="AG15" t="s">
        <v>6</v>
      </c>
      <c r="AH15" t="s">
        <v>135</v>
      </c>
      <c r="AI15" t="s">
        <v>136</v>
      </c>
      <c r="AM15" t="s">
        <v>307</v>
      </c>
      <c r="AN15" t="s">
        <v>301</v>
      </c>
      <c r="AO15" t="s">
        <v>26</v>
      </c>
      <c r="AP15" t="s">
        <v>127</v>
      </c>
      <c r="AQ15" t="s">
        <v>6</v>
      </c>
      <c r="AR15" t="s">
        <v>139</v>
      </c>
      <c r="AS15" t="s">
        <v>308</v>
      </c>
      <c r="AT15" t="s">
        <v>51</v>
      </c>
      <c r="AU15" t="s">
        <v>62</v>
      </c>
      <c r="AV15" t="s">
        <v>309</v>
      </c>
      <c r="AW15" t="s">
        <v>46</v>
      </c>
      <c r="BA15" t="s">
        <v>343</v>
      </c>
      <c r="BB15" t="s">
        <v>29</v>
      </c>
      <c r="BC15" t="s">
        <v>26</v>
      </c>
      <c r="BD15" t="s">
        <v>60</v>
      </c>
      <c r="BE15" t="s">
        <v>344</v>
      </c>
      <c r="BF15" t="s">
        <v>62</v>
      </c>
      <c r="BG15" t="s">
        <v>8</v>
      </c>
      <c r="BH15" t="s">
        <v>84</v>
      </c>
      <c r="BI15" t="s">
        <v>36</v>
      </c>
      <c r="BJ15" t="s">
        <v>7</v>
      </c>
      <c r="BK15" t="s">
        <v>20</v>
      </c>
      <c r="BO15" t="s">
        <v>387</v>
      </c>
      <c r="BP15" t="s">
        <v>388</v>
      </c>
      <c r="BQ15" t="s">
        <v>132</v>
      </c>
      <c r="BR15" t="s">
        <v>188</v>
      </c>
      <c r="BS15" t="s">
        <v>139</v>
      </c>
      <c r="BT15" t="s">
        <v>26</v>
      </c>
      <c r="BU15" t="s">
        <v>389</v>
      </c>
      <c r="BV15" t="s">
        <v>62</v>
      </c>
      <c r="BW15" t="s">
        <v>182</v>
      </c>
      <c r="BX15" t="s">
        <v>25</v>
      </c>
      <c r="BY15" t="s">
        <v>390</v>
      </c>
      <c r="CC15" t="s">
        <v>323</v>
      </c>
      <c r="CD15" t="s">
        <v>318</v>
      </c>
      <c r="CE15" t="s">
        <v>26</v>
      </c>
      <c r="CF15" t="s">
        <v>324</v>
      </c>
      <c r="CG15" t="s">
        <v>282</v>
      </c>
      <c r="CH15" t="s">
        <v>4</v>
      </c>
      <c r="CI15" t="s">
        <v>325</v>
      </c>
      <c r="CJ15" t="s">
        <v>326</v>
      </c>
      <c r="CK15" t="s">
        <v>324</v>
      </c>
      <c r="CL15" t="s">
        <v>241</v>
      </c>
      <c r="CM15" t="s">
        <v>327</v>
      </c>
      <c r="CQ15" t="s">
        <v>289</v>
      </c>
      <c r="CR15" t="s">
        <v>290</v>
      </c>
      <c r="CS15" t="s">
        <v>26</v>
      </c>
      <c r="CT15" t="s">
        <v>222</v>
      </c>
      <c r="CU15" t="s">
        <v>282</v>
      </c>
      <c r="CV15" t="s">
        <v>291</v>
      </c>
      <c r="CW15" t="s">
        <v>139</v>
      </c>
      <c r="CX15" t="s">
        <v>292</v>
      </c>
      <c r="CY15" t="s">
        <v>24</v>
      </c>
      <c r="CZ15" t="s">
        <v>293</v>
      </c>
      <c r="DA15" t="s">
        <v>74</v>
      </c>
      <c r="DE15" t="s">
        <v>323</v>
      </c>
      <c r="DF15" t="s">
        <v>318</v>
      </c>
      <c r="DG15" t="s">
        <v>26</v>
      </c>
      <c r="DH15" t="s">
        <v>324</v>
      </c>
      <c r="DI15" t="s">
        <v>282</v>
      </c>
      <c r="DJ15" t="s">
        <v>4</v>
      </c>
      <c r="DK15" t="s">
        <v>325</v>
      </c>
      <c r="DL15" t="s">
        <v>326</v>
      </c>
      <c r="DM15" t="s">
        <v>324</v>
      </c>
      <c r="DN15" t="s">
        <v>241</v>
      </c>
      <c r="DO15" t="s">
        <v>327</v>
      </c>
      <c r="DQ15" t="s">
        <v>502</v>
      </c>
      <c r="DR15" t="s">
        <v>343</v>
      </c>
      <c r="DS15" t="s">
        <v>29</v>
      </c>
      <c r="DT15" t="s">
        <v>26</v>
      </c>
      <c r="DU15" t="s">
        <v>60</v>
      </c>
      <c r="DV15" t="s">
        <v>344</v>
      </c>
      <c r="DW15" t="s">
        <v>62</v>
      </c>
      <c r="DX15" t="s">
        <v>8</v>
      </c>
      <c r="DY15" t="s">
        <v>84</v>
      </c>
      <c r="DZ15" t="s">
        <v>36</v>
      </c>
      <c r="EA15" t="s">
        <v>7</v>
      </c>
      <c r="EB15" t="s">
        <v>20</v>
      </c>
      <c r="EE15" t="s">
        <v>256</v>
      </c>
      <c r="EF15" t="s">
        <v>37</v>
      </c>
      <c r="EG15" t="s">
        <v>183</v>
      </c>
      <c r="EH15" t="s">
        <v>26</v>
      </c>
      <c r="EI15" t="s">
        <v>27</v>
      </c>
      <c r="EJ15" t="s">
        <v>148</v>
      </c>
      <c r="EK15" t="s">
        <v>105</v>
      </c>
      <c r="EL15" t="s">
        <v>79</v>
      </c>
      <c r="EM15" t="s">
        <v>28</v>
      </c>
      <c r="EN15" t="s">
        <v>62</v>
      </c>
      <c r="EO15" t="s">
        <v>73</v>
      </c>
      <c r="ER15" t="s">
        <v>256</v>
      </c>
      <c r="ES15" t="s">
        <v>37</v>
      </c>
      <c r="ET15" t="s">
        <v>183</v>
      </c>
      <c r="EU15" t="s">
        <v>26</v>
      </c>
      <c r="EV15" t="s">
        <v>27</v>
      </c>
      <c r="EW15" t="s">
        <v>148</v>
      </c>
      <c r="EX15" t="s">
        <v>105</v>
      </c>
      <c r="EY15" t="s">
        <v>79</v>
      </c>
      <c r="EZ15" t="s">
        <v>28</v>
      </c>
      <c r="FA15" t="s">
        <v>62</v>
      </c>
      <c r="FB15" t="s">
        <v>73</v>
      </c>
      <c r="FE15" t="s">
        <v>380</v>
      </c>
      <c r="FF15" t="s">
        <v>26</v>
      </c>
      <c r="FG15" t="s">
        <v>127</v>
      </c>
      <c r="FH15" t="s">
        <v>130</v>
      </c>
      <c r="FI15" t="s">
        <v>242</v>
      </c>
      <c r="FJ15" t="s">
        <v>327</v>
      </c>
      <c r="FK15" t="s">
        <v>344</v>
      </c>
      <c r="FL15" t="s">
        <v>28</v>
      </c>
      <c r="FM15" t="s">
        <v>83</v>
      </c>
      <c r="FN15" t="s">
        <v>37</v>
      </c>
      <c r="FO15" t="s">
        <v>381</v>
      </c>
      <c r="FR15" t="s">
        <v>256</v>
      </c>
      <c r="FS15" t="s">
        <v>37</v>
      </c>
      <c r="FT15" t="s">
        <v>183</v>
      </c>
      <c r="FU15" t="s">
        <v>26</v>
      </c>
      <c r="FV15" t="s">
        <v>27</v>
      </c>
      <c r="FW15" t="s">
        <v>148</v>
      </c>
      <c r="FX15" t="s">
        <v>105</v>
      </c>
      <c r="FY15" t="s">
        <v>79</v>
      </c>
      <c r="FZ15" t="s">
        <v>28</v>
      </c>
      <c r="GA15" t="s">
        <v>62</v>
      </c>
      <c r="GB15" t="s">
        <v>73</v>
      </c>
      <c r="GE15" t="s">
        <v>380</v>
      </c>
      <c r="GF15" t="s">
        <v>26</v>
      </c>
      <c r="GG15" t="s">
        <v>127</v>
      </c>
      <c r="GH15" t="s">
        <v>130</v>
      </c>
      <c r="GI15" t="s">
        <v>242</v>
      </c>
      <c r="GJ15" t="s">
        <v>327</v>
      </c>
      <c r="GK15" t="s">
        <v>344</v>
      </c>
      <c r="GL15" t="s">
        <v>28</v>
      </c>
      <c r="GM15" t="s">
        <v>83</v>
      </c>
      <c r="GN15" t="s">
        <v>37</v>
      </c>
      <c r="GO15" t="s">
        <v>381</v>
      </c>
    </row>
    <row r="16" spans="1:197" x14ac:dyDescent="0.25">
      <c r="A16" t="s">
        <v>104</v>
      </c>
      <c r="B16" t="s">
        <v>26</v>
      </c>
      <c r="C16" t="s">
        <v>54</v>
      </c>
      <c r="D16" t="s">
        <v>105</v>
      </c>
      <c r="E16" t="s">
        <v>106</v>
      </c>
      <c r="F16" t="s">
        <v>107</v>
      </c>
      <c r="G16" t="s">
        <v>8</v>
      </c>
      <c r="H16" t="s">
        <v>73</v>
      </c>
      <c r="I16" t="s">
        <v>27</v>
      </c>
      <c r="J16" t="s">
        <v>108</v>
      </c>
      <c r="K16" t="s">
        <v>109</v>
      </c>
      <c r="Y16" t="s">
        <v>137</v>
      </c>
      <c r="Z16" t="s">
        <v>138</v>
      </c>
      <c r="AA16" t="s">
        <v>139</v>
      </c>
      <c r="AB16" t="s">
        <v>140</v>
      </c>
      <c r="AC16" t="s">
        <v>121</v>
      </c>
      <c r="AD16" t="s">
        <v>121</v>
      </c>
      <c r="AE16" t="s">
        <v>141</v>
      </c>
      <c r="AF16" t="s">
        <v>26</v>
      </c>
      <c r="AG16" t="s">
        <v>142</v>
      </c>
      <c r="AH16" t="s">
        <v>143</v>
      </c>
      <c r="AI16" t="s">
        <v>27</v>
      </c>
      <c r="AM16" t="s">
        <v>321</v>
      </c>
      <c r="AN16" t="s">
        <v>204</v>
      </c>
      <c r="AO16" t="s">
        <v>199</v>
      </c>
      <c r="AP16" t="s">
        <v>26</v>
      </c>
      <c r="AQ16" t="s">
        <v>139</v>
      </c>
      <c r="AR16" t="s">
        <v>48</v>
      </c>
      <c r="AS16" t="s">
        <v>148</v>
      </c>
      <c r="AT16" t="s">
        <v>52</v>
      </c>
      <c r="AU16" t="s">
        <v>322</v>
      </c>
      <c r="AV16" t="s">
        <v>91</v>
      </c>
      <c r="AW16" t="s">
        <v>4</v>
      </c>
      <c r="BA16" t="s">
        <v>352</v>
      </c>
      <c r="BB16" t="s">
        <v>51</v>
      </c>
      <c r="BC16" t="s">
        <v>353</v>
      </c>
      <c r="BD16" t="s">
        <v>344</v>
      </c>
      <c r="BE16" t="s">
        <v>60</v>
      </c>
      <c r="BF16" t="s">
        <v>26</v>
      </c>
      <c r="BG16" t="s">
        <v>24</v>
      </c>
      <c r="BH16" t="s">
        <v>96</v>
      </c>
      <c r="BI16" t="s">
        <v>354</v>
      </c>
      <c r="BJ16" t="s">
        <v>163</v>
      </c>
      <c r="BK16" t="s">
        <v>81</v>
      </c>
      <c r="CC16" t="s">
        <v>352</v>
      </c>
      <c r="CD16" t="s">
        <v>51</v>
      </c>
      <c r="CE16" t="s">
        <v>353</v>
      </c>
      <c r="CF16" t="s">
        <v>344</v>
      </c>
      <c r="CG16" t="s">
        <v>60</v>
      </c>
      <c r="CH16" t="s">
        <v>26</v>
      </c>
      <c r="CI16" t="s">
        <v>24</v>
      </c>
      <c r="CJ16" t="s">
        <v>96</v>
      </c>
      <c r="CK16" t="s">
        <v>354</v>
      </c>
      <c r="CL16" t="s">
        <v>163</v>
      </c>
      <c r="CM16" t="s">
        <v>81</v>
      </c>
      <c r="CQ16" t="s">
        <v>321</v>
      </c>
      <c r="CR16" t="s">
        <v>204</v>
      </c>
      <c r="CS16" t="s">
        <v>199</v>
      </c>
      <c r="CT16" t="s">
        <v>26</v>
      </c>
      <c r="CU16" t="s">
        <v>139</v>
      </c>
      <c r="CV16" t="s">
        <v>48</v>
      </c>
      <c r="CW16" t="s">
        <v>148</v>
      </c>
      <c r="CX16" t="s">
        <v>52</v>
      </c>
      <c r="CY16" t="s">
        <v>322</v>
      </c>
      <c r="CZ16" t="s">
        <v>91</v>
      </c>
      <c r="DA16" t="s">
        <v>4</v>
      </c>
      <c r="DE16" t="s">
        <v>352</v>
      </c>
      <c r="DF16" t="s">
        <v>51</v>
      </c>
      <c r="DG16" t="s">
        <v>353</v>
      </c>
      <c r="DH16" t="s">
        <v>344</v>
      </c>
      <c r="DI16" t="s">
        <v>60</v>
      </c>
      <c r="DJ16" t="s">
        <v>26</v>
      </c>
      <c r="DK16" t="s">
        <v>24</v>
      </c>
      <c r="DL16" t="s">
        <v>96</v>
      </c>
      <c r="DM16" t="s">
        <v>354</v>
      </c>
      <c r="DN16" t="s">
        <v>163</v>
      </c>
      <c r="DO16" t="s">
        <v>81</v>
      </c>
      <c r="DQ16">
        <f>6/9*100</f>
        <v>66.666666666666657</v>
      </c>
      <c r="DR16" t="s">
        <v>45</v>
      </c>
      <c r="DS16" t="s">
        <v>13</v>
      </c>
      <c r="DT16" t="s">
        <v>29</v>
      </c>
      <c r="DU16" t="s">
        <v>46</v>
      </c>
      <c r="DV16" t="s">
        <v>39</v>
      </c>
      <c r="DW16" t="s">
        <v>26</v>
      </c>
      <c r="DX16" t="s">
        <v>18</v>
      </c>
      <c r="DY16" t="s">
        <v>47</v>
      </c>
      <c r="DZ16" t="s">
        <v>48</v>
      </c>
      <c r="EA16" t="s">
        <v>28</v>
      </c>
      <c r="EB16" t="s">
        <v>49</v>
      </c>
      <c r="EE16" t="s">
        <v>343</v>
      </c>
      <c r="EF16" t="s">
        <v>29</v>
      </c>
      <c r="EG16" t="s">
        <v>26</v>
      </c>
      <c r="EH16" t="s">
        <v>60</v>
      </c>
      <c r="EI16" t="s">
        <v>344</v>
      </c>
      <c r="EJ16" t="s">
        <v>62</v>
      </c>
      <c r="EK16" t="s">
        <v>8</v>
      </c>
      <c r="EL16" t="s">
        <v>84</v>
      </c>
      <c r="EM16" t="s">
        <v>36</v>
      </c>
      <c r="EN16" t="s">
        <v>7</v>
      </c>
      <c r="EO16" t="s">
        <v>20</v>
      </c>
      <c r="ER16" t="s">
        <v>343</v>
      </c>
      <c r="ES16" t="s">
        <v>29</v>
      </c>
      <c r="ET16" t="s">
        <v>26</v>
      </c>
      <c r="EU16" t="s">
        <v>60</v>
      </c>
      <c r="EV16" t="s">
        <v>344</v>
      </c>
      <c r="EW16" t="s">
        <v>62</v>
      </c>
      <c r="EX16" t="s">
        <v>8</v>
      </c>
      <c r="EY16" t="s">
        <v>84</v>
      </c>
      <c r="EZ16" t="s">
        <v>36</v>
      </c>
      <c r="FA16" t="s">
        <v>7</v>
      </c>
      <c r="FB16" t="s">
        <v>20</v>
      </c>
      <c r="FE16" t="s">
        <v>256</v>
      </c>
      <c r="FF16" t="s">
        <v>37</v>
      </c>
      <c r="FG16" t="s">
        <v>183</v>
      </c>
      <c r="FH16" t="s">
        <v>26</v>
      </c>
      <c r="FI16" t="s">
        <v>27</v>
      </c>
      <c r="FJ16" t="s">
        <v>148</v>
      </c>
      <c r="FK16" t="s">
        <v>105</v>
      </c>
      <c r="FL16" t="s">
        <v>79</v>
      </c>
      <c r="FM16" t="s">
        <v>28</v>
      </c>
      <c r="FN16" t="s">
        <v>62</v>
      </c>
      <c r="FO16" t="s">
        <v>73</v>
      </c>
      <c r="FR16" t="s">
        <v>343</v>
      </c>
      <c r="FS16" t="s">
        <v>29</v>
      </c>
      <c r="FT16" t="s">
        <v>26</v>
      </c>
      <c r="FU16" t="s">
        <v>60</v>
      </c>
      <c r="FV16" t="s">
        <v>344</v>
      </c>
      <c r="FW16" t="s">
        <v>62</v>
      </c>
      <c r="FX16" t="s">
        <v>8</v>
      </c>
      <c r="FY16" t="s">
        <v>84</v>
      </c>
      <c r="FZ16" t="s">
        <v>36</v>
      </c>
      <c r="GA16" t="s">
        <v>7</v>
      </c>
      <c r="GB16" t="s">
        <v>20</v>
      </c>
      <c r="GE16" t="s">
        <v>256</v>
      </c>
      <c r="GF16" t="s">
        <v>37</v>
      </c>
      <c r="GG16" t="s">
        <v>183</v>
      </c>
      <c r="GH16" t="s">
        <v>26</v>
      </c>
      <c r="GI16" t="s">
        <v>27</v>
      </c>
      <c r="GJ16" t="s">
        <v>148</v>
      </c>
      <c r="GK16" t="s">
        <v>105</v>
      </c>
      <c r="GL16" t="s">
        <v>79</v>
      </c>
      <c r="GM16" t="s">
        <v>28</v>
      </c>
      <c r="GN16" t="s">
        <v>62</v>
      </c>
      <c r="GO16" t="s">
        <v>73</v>
      </c>
    </row>
    <row r="17" spans="1:197" x14ac:dyDescent="0.25">
      <c r="A17" t="s">
        <v>110</v>
      </c>
      <c r="B17" t="s">
        <v>8</v>
      </c>
      <c r="C17" t="s">
        <v>2</v>
      </c>
      <c r="D17" t="s">
        <v>111</v>
      </c>
      <c r="E17" t="s">
        <v>56</v>
      </c>
      <c r="F17" t="s">
        <v>92</v>
      </c>
      <c r="G17" t="s">
        <v>8</v>
      </c>
      <c r="H17" t="s">
        <v>112</v>
      </c>
      <c r="I17" t="s">
        <v>96</v>
      </c>
      <c r="J17" t="s">
        <v>113</v>
      </c>
      <c r="K17" t="s">
        <v>114</v>
      </c>
      <c r="Y17" t="s">
        <v>181</v>
      </c>
      <c r="Z17" t="s">
        <v>37</v>
      </c>
      <c r="AA17" t="s">
        <v>8</v>
      </c>
      <c r="AB17" t="s">
        <v>182</v>
      </c>
      <c r="AC17" t="s">
        <v>183</v>
      </c>
      <c r="AD17" t="s">
        <v>184</v>
      </c>
      <c r="AE17" t="s">
        <v>185</v>
      </c>
      <c r="AF17" t="s">
        <v>139</v>
      </c>
      <c r="AG17" t="s">
        <v>27</v>
      </c>
      <c r="AH17" t="s">
        <v>26</v>
      </c>
      <c r="AI17" t="s">
        <v>24</v>
      </c>
      <c r="AM17" t="s">
        <v>323</v>
      </c>
      <c r="AN17" t="s">
        <v>318</v>
      </c>
      <c r="AO17" t="s">
        <v>26</v>
      </c>
      <c r="AP17" t="s">
        <v>324</v>
      </c>
      <c r="AQ17" t="s">
        <v>282</v>
      </c>
      <c r="AR17" t="s">
        <v>4</v>
      </c>
      <c r="AS17" t="s">
        <v>325</v>
      </c>
      <c r="AT17" t="s">
        <v>326</v>
      </c>
      <c r="AU17" t="s">
        <v>324</v>
      </c>
      <c r="AV17" t="s">
        <v>241</v>
      </c>
      <c r="AW17" t="s">
        <v>327</v>
      </c>
      <c r="BA17" t="s">
        <v>367</v>
      </c>
      <c r="BB17" t="s">
        <v>132</v>
      </c>
      <c r="BC17" t="s">
        <v>368</v>
      </c>
      <c r="BD17" t="s">
        <v>96</v>
      </c>
      <c r="BE17" t="s">
        <v>130</v>
      </c>
      <c r="BF17" t="s">
        <v>369</v>
      </c>
      <c r="BG17" t="s">
        <v>26</v>
      </c>
      <c r="BH17" t="s">
        <v>369</v>
      </c>
      <c r="BI17" t="s">
        <v>121</v>
      </c>
      <c r="BJ17" t="s">
        <v>368</v>
      </c>
      <c r="BK17" t="s">
        <v>370</v>
      </c>
      <c r="BO17" t="s">
        <v>422</v>
      </c>
      <c r="CC17" t="s">
        <v>380</v>
      </c>
      <c r="CD17" t="s">
        <v>26</v>
      </c>
      <c r="CE17" t="s">
        <v>127</v>
      </c>
      <c r="CF17" t="s">
        <v>130</v>
      </c>
      <c r="CG17" t="s">
        <v>242</v>
      </c>
      <c r="CH17" t="s">
        <v>327</v>
      </c>
      <c r="CI17" t="s">
        <v>344</v>
      </c>
      <c r="CJ17" t="s">
        <v>28</v>
      </c>
      <c r="CK17" t="s">
        <v>83</v>
      </c>
      <c r="CL17" t="s">
        <v>37</v>
      </c>
      <c r="CM17" t="s">
        <v>381</v>
      </c>
      <c r="CQ17" t="s">
        <v>323</v>
      </c>
      <c r="CR17" t="s">
        <v>318</v>
      </c>
      <c r="CS17" t="s">
        <v>26</v>
      </c>
      <c r="CT17" t="s">
        <v>324</v>
      </c>
      <c r="CU17" t="s">
        <v>282</v>
      </c>
      <c r="CV17" t="s">
        <v>4</v>
      </c>
      <c r="CW17" t="s">
        <v>325</v>
      </c>
      <c r="CX17" t="s">
        <v>326</v>
      </c>
      <c r="CY17" t="s">
        <v>324</v>
      </c>
      <c r="CZ17" t="s">
        <v>241</v>
      </c>
      <c r="DA17" t="s">
        <v>327</v>
      </c>
      <c r="DE17" t="s">
        <v>380</v>
      </c>
      <c r="DF17" t="s">
        <v>26</v>
      </c>
      <c r="DG17" t="s">
        <v>127</v>
      </c>
      <c r="DH17" t="s">
        <v>130</v>
      </c>
      <c r="DI17" t="s">
        <v>242</v>
      </c>
      <c r="DJ17" t="s">
        <v>327</v>
      </c>
      <c r="DK17" t="s">
        <v>344</v>
      </c>
      <c r="DL17" t="s">
        <v>28</v>
      </c>
      <c r="DM17" t="s">
        <v>83</v>
      </c>
      <c r="DN17" t="s">
        <v>37</v>
      </c>
      <c r="DO17" t="s">
        <v>381</v>
      </c>
      <c r="DR17" t="s">
        <v>289</v>
      </c>
      <c r="DS17" t="s">
        <v>290</v>
      </c>
      <c r="DT17" t="s">
        <v>26</v>
      </c>
      <c r="DU17" t="s">
        <v>222</v>
      </c>
      <c r="DV17" t="s">
        <v>282</v>
      </c>
      <c r="DW17" t="s">
        <v>291</v>
      </c>
      <c r="DX17" t="s">
        <v>139</v>
      </c>
      <c r="DY17" t="s">
        <v>292</v>
      </c>
      <c r="DZ17" t="s">
        <v>24</v>
      </c>
      <c r="EA17" t="s">
        <v>293</v>
      </c>
      <c r="EB17" t="s">
        <v>74</v>
      </c>
      <c r="EE17" t="s">
        <v>289</v>
      </c>
      <c r="EF17" t="s">
        <v>290</v>
      </c>
      <c r="EG17" t="s">
        <v>26</v>
      </c>
      <c r="EH17" t="s">
        <v>222</v>
      </c>
      <c r="EI17" t="s">
        <v>282</v>
      </c>
      <c r="EJ17" t="s">
        <v>291</v>
      </c>
      <c r="EK17" t="s">
        <v>139</v>
      </c>
      <c r="EL17" t="s">
        <v>292</v>
      </c>
      <c r="EM17" t="s">
        <v>24</v>
      </c>
      <c r="EN17" t="s">
        <v>293</v>
      </c>
      <c r="EO17" t="s">
        <v>74</v>
      </c>
      <c r="ER17" t="s">
        <v>289</v>
      </c>
      <c r="ES17" t="s">
        <v>290</v>
      </c>
      <c r="ET17" t="s">
        <v>26</v>
      </c>
      <c r="EU17" t="s">
        <v>222</v>
      </c>
      <c r="EV17" t="s">
        <v>282</v>
      </c>
      <c r="EW17" t="s">
        <v>291</v>
      </c>
      <c r="EX17" t="s">
        <v>139</v>
      </c>
      <c r="EY17" t="s">
        <v>292</v>
      </c>
      <c r="EZ17" t="s">
        <v>24</v>
      </c>
      <c r="FA17" t="s">
        <v>293</v>
      </c>
      <c r="FB17" t="s">
        <v>74</v>
      </c>
      <c r="FE17" t="s">
        <v>343</v>
      </c>
      <c r="FF17" t="s">
        <v>29</v>
      </c>
      <c r="FG17" t="s">
        <v>26</v>
      </c>
      <c r="FH17" t="s">
        <v>60</v>
      </c>
      <c r="FI17" t="s">
        <v>344</v>
      </c>
      <c r="FJ17" t="s">
        <v>62</v>
      </c>
      <c r="FK17" t="s">
        <v>8</v>
      </c>
      <c r="FL17" t="s">
        <v>84</v>
      </c>
      <c r="FM17" t="s">
        <v>36</v>
      </c>
      <c r="FN17" t="s">
        <v>7</v>
      </c>
      <c r="FO17" t="s">
        <v>20</v>
      </c>
      <c r="FR17" t="s">
        <v>289</v>
      </c>
      <c r="FS17" t="s">
        <v>290</v>
      </c>
      <c r="FT17" t="s">
        <v>26</v>
      </c>
      <c r="FU17" t="s">
        <v>222</v>
      </c>
      <c r="FV17" t="s">
        <v>282</v>
      </c>
      <c r="FW17" t="s">
        <v>291</v>
      </c>
      <c r="FX17" t="s">
        <v>139</v>
      </c>
      <c r="FY17" t="s">
        <v>292</v>
      </c>
      <c r="FZ17" t="s">
        <v>24</v>
      </c>
      <c r="GA17" t="s">
        <v>293</v>
      </c>
      <c r="GB17" t="s">
        <v>74</v>
      </c>
      <c r="GE17" t="s">
        <v>289</v>
      </c>
      <c r="GF17" t="s">
        <v>290</v>
      </c>
      <c r="GG17" t="s">
        <v>26</v>
      </c>
      <c r="GH17" t="s">
        <v>222</v>
      </c>
      <c r="GI17" t="s">
        <v>282</v>
      </c>
      <c r="GJ17" t="s">
        <v>291</v>
      </c>
      <c r="GK17" t="s">
        <v>139</v>
      </c>
      <c r="GL17" t="s">
        <v>292</v>
      </c>
      <c r="GM17" t="s">
        <v>24</v>
      </c>
      <c r="GN17" t="s">
        <v>293</v>
      </c>
      <c r="GO17" t="s">
        <v>74</v>
      </c>
    </row>
    <row r="18" spans="1:197" x14ac:dyDescent="0.25">
      <c r="A18" t="s">
        <v>115</v>
      </c>
      <c r="B18" t="s">
        <v>42</v>
      </c>
      <c r="C18" t="s">
        <v>26</v>
      </c>
      <c r="D18" t="s">
        <v>5</v>
      </c>
      <c r="E18" t="s">
        <v>8</v>
      </c>
      <c r="F18" t="s">
        <v>116</v>
      </c>
      <c r="G18" t="s">
        <v>105</v>
      </c>
      <c r="H18" t="s">
        <v>117</v>
      </c>
      <c r="I18" t="s">
        <v>118</v>
      </c>
      <c r="J18" t="s">
        <v>86</v>
      </c>
      <c r="K18" t="s">
        <v>119</v>
      </c>
      <c r="Y18" t="s">
        <v>218</v>
      </c>
      <c r="Z18" t="s">
        <v>26</v>
      </c>
      <c r="AA18" t="s">
        <v>219</v>
      </c>
      <c r="AB18" t="s">
        <v>206</v>
      </c>
      <c r="AC18" t="s">
        <v>220</v>
      </c>
      <c r="AD18" t="s">
        <v>207</v>
      </c>
      <c r="AE18" t="s">
        <v>221</v>
      </c>
      <c r="AF18" t="s">
        <v>209</v>
      </c>
      <c r="AG18" t="s">
        <v>27</v>
      </c>
      <c r="AH18" t="s">
        <v>222</v>
      </c>
      <c r="AI18" t="s">
        <v>208</v>
      </c>
      <c r="AM18" t="s">
        <v>331</v>
      </c>
      <c r="AN18" t="s">
        <v>121</v>
      </c>
      <c r="AO18" t="s">
        <v>242</v>
      </c>
      <c r="AP18" t="s">
        <v>241</v>
      </c>
      <c r="AQ18" t="s">
        <v>52</v>
      </c>
      <c r="AR18" t="s">
        <v>330</v>
      </c>
      <c r="AS18" t="s">
        <v>4</v>
      </c>
      <c r="AT18" t="s">
        <v>26</v>
      </c>
      <c r="AU18" t="s">
        <v>245</v>
      </c>
      <c r="AV18" t="s">
        <v>28</v>
      </c>
      <c r="AW18" t="s">
        <v>277</v>
      </c>
      <c r="BA18" t="s">
        <v>380</v>
      </c>
      <c r="BB18" t="s">
        <v>26</v>
      </c>
      <c r="BC18" t="s">
        <v>127</v>
      </c>
      <c r="BD18" t="s">
        <v>130</v>
      </c>
      <c r="BE18" t="s">
        <v>242</v>
      </c>
      <c r="BF18" t="s">
        <v>327</v>
      </c>
      <c r="BG18" t="s">
        <v>344</v>
      </c>
      <c r="BH18" t="s">
        <v>28</v>
      </c>
      <c r="BI18" t="s">
        <v>83</v>
      </c>
      <c r="BJ18" t="s">
        <v>37</v>
      </c>
      <c r="BK18" t="s">
        <v>381</v>
      </c>
      <c r="BO18" t="s">
        <v>120</v>
      </c>
      <c r="BP18" t="s">
        <v>26</v>
      </c>
      <c r="BQ18" t="s">
        <v>93</v>
      </c>
      <c r="BR18" t="s">
        <v>121</v>
      </c>
      <c r="BS18" t="s">
        <v>122</v>
      </c>
      <c r="BT18" t="s">
        <v>123</v>
      </c>
      <c r="BU18" t="s">
        <v>124</v>
      </c>
      <c r="BV18" t="s">
        <v>125</v>
      </c>
      <c r="BW18" t="s">
        <v>126</v>
      </c>
      <c r="BX18" t="s">
        <v>127</v>
      </c>
      <c r="BY18" t="s">
        <v>128</v>
      </c>
      <c r="CQ18" t="s">
        <v>352</v>
      </c>
      <c r="CR18" t="s">
        <v>51</v>
      </c>
      <c r="CS18" t="s">
        <v>353</v>
      </c>
      <c r="CT18" t="s">
        <v>344</v>
      </c>
      <c r="CU18" t="s">
        <v>60</v>
      </c>
      <c r="CV18" t="s">
        <v>26</v>
      </c>
      <c r="CW18" t="s">
        <v>24</v>
      </c>
      <c r="CX18" t="s">
        <v>96</v>
      </c>
      <c r="CY18" t="s">
        <v>354</v>
      </c>
      <c r="CZ18" t="s">
        <v>163</v>
      </c>
      <c r="DA18" t="s">
        <v>81</v>
      </c>
      <c r="DR18" t="s">
        <v>321</v>
      </c>
      <c r="DS18" t="s">
        <v>204</v>
      </c>
      <c r="DT18" t="s">
        <v>199</v>
      </c>
      <c r="DU18" t="s">
        <v>26</v>
      </c>
      <c r="DV18" t="s">
        <v>139</v>
      </c>
      <c r="DW18" t="s">
        <v>48</v>
      </c>
      <c r="DX18" t="s">
        <v>148</v>
      </c>
      <c r="DY18" t="s">
        <v>52</v>
      </c>
      <c r="DZ18" t="s">
        <v>322</v>
      </c>
      <c r="EA18" t="s">
        <v>91</v>
      </c>
      <c r="EB18" t="s">
        <v>4</v>
      </c>
      <c r="EE18" t="s">
        <v>321</v>
      </c>
      <c r="EF18" t="s">
        <v>204</v>
      </c>
      <c r="EG18" t="s">
        <v>199</v>
      </c>
      <c r="EH18" t="s">
        <v>26</v>
      </c>
      <c r="EI18" t="s">
        <v>139</v>
      </c>
      <c r="EJ18" t="s">
        <v>48</v>
      </c>
      <c r="EK18" t="s">
        <v>148</v>
      </c>
      <c r="EL18" t="s">
        <v>52</v>
      </c>
      <c r="EM18" t="s">
        <v>322</v>
      </c>
      <c r="EN18" t="s">
        <v>91</v>
      </c>
      <c r="EO18" t="s">
        <v>4</v>
      </c>
      <c r="ER18" t="s">
        <v>321</v>
      </c>
      <c r="ES18" t="s">
        <v>204</v>
      </c>
      <c r="ET18" t="s">
        <v>199</v>
      </c>
      <c r="EU18" t="s">
        <v>26</v>
      </c>
      <c r="EV18" t="s">
        <v>139</v>
      </c>
      <c r="EW18" t="s">
        <v>48</v>
      </c>
      <c r="EX18" t="s">
        <v>148</v>
      </c>
      <c r="EY18" t="s">
        <v>52</v>
      </c>
      <c r="EZ18" t="s">
        <v>322</v>
      </c>
      <c r="FA18" t="s">
        <v>91</v>
      </c>
      <c r="FB18" t="s">
        <v>4</v>
      </c>
      <c r="FE18" t="s">
        <v>289</v>
      </c>
      <c r="FF18" t="s">
        <v>290</v>
      </c>
      <c r="FG18" t="s">
        <v>26</v>
      </c>
      <c r="FH18" t="s">
        <v>222</v>
      </c>
      <c r="FI18" t="s">
        <v>282</v>
      </c>
      <c r="FJ18" t="s">
        <v>291</v>
      </c>
      <c r="FK18" t="s">
        <v>139</v>
      </c>
      <c r="FL18" t="s">
        <v>292</v>
      </c>
      <c r="FM18" t="s">
        <v>24</v>
      </c>
      <c r="FN18" t="s">
        <v>293</v>
      </c>
      <c r="FO18" t="s">
        <v>74</v>
      </c>
      <c r="FR18" t="s">
        <v>321</v>
      </c>
      <c r="FS18" t="s">
        <v>204</v>
      </c>
      <c r="FT18" t="s">
        <v>199</v>
      </c>
      <c r="FU18" t="s">
        <v>26</v>
      </c>
      <c r="FV18" t="s">
        <v>139</v>
      </c>
      <c r="FW18" t="s">
        <v>48</v>
      </c>
      <c r="FX18" t="s">
        <v>148</v>
      </c>
      <c r="FY18" t="s">
        <v>52</v>
      </c>
      <c r="FZ18" t="s">
        <v>322</v>
      </c>
      <c r="GA18" t="s">
        <v>91</v>
      </c>
      <c r="GB18" t="s">
        <v>4</v>
      </c>
      <c r="GE18" t="s">
        <v>321</v>
      </c>
      <c r="GF18" t="s">
        <v>204</v>
      </c>
      <c r="GG18" t="s">
        <v>199</v>
      </c>
      <c r="GH18" t="s">
        <v>26</v>
      </c>
      <c r="GI18" t="s">
        <v>139</v>
      </c>
      <c r="GJ18" t="s">
        <v>48</v>
      </c>
      <c r="GK18" t="s">
        <v>148</v>
      </c>
      <c r="GL18" t="s">
        <v>52</v>
      </c>
      <c r="GM18" t="s">
        <v>322</v>
      </c>
      <c r="GN18" t="s">
        <v>91</v>
      </c>
      <c r="GO18" t="s">
        <v>4</v>
      </c>
    </row>
    <row r="19" spans="1:197" x14ac:dyDescent="0.25">
      <c r="A19" t="s">
        <v>120</v>
      </c>
      <c r="B19" t="s">
        <v>26</v>
      </c>
      <c r="C19" t="s">
        <v>93</v>
      </c>
      <c r="D19" t="s">
        <v>121</v>
      </c>
      <c r="E19" t="s">
        <v>122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t="s">
        <v>128</v>
      </c>
      <c r="Y19" t="s">
        <v>235</v>
      </c>
      <c r="Z19" t="s">
        <v>1</v>
      </c>
      <c r="AA19" t="s">
        <v>132</v>
      </c>
      <c r="AB19" t="s">
        <v>52</v>
      </c>
      <c r="AC19" t="s">
        <v>236</v>
      </c>
      <c r="AD19" t="s">
        <v>26</v>
      </c>
      <c r="AE19" t="s">
        <v>237</v>
      </c>
      <c r="AF19" t="s">
        <v>210</v>
      </c>
      <c r="AG19" t="s">
        <v>27</v>
      </c>
      <c r="AH19" t="s">
        <v>121</v>
      </c>
      <c r="AI19" t="s">
        <v>207</v>
      </c>
      <c r="AM19" t="s">
        <v>343</v>
      </c>
      <c r="AN19" t="s">
        <v>29</v>
      </c>
      <c r="AO19" t="s">
        <v>26</v>
      </c>
      <c r="AP19" t="s">
        <v>60</v>
      </c>
      <c r="AQ19" t="s">
        <v>344</v>
      </c>
      <c r="AR19" t="s">
        <v>62</v>
      </c>
      <c r="AS19" t="s">
        <v>8</v>
      </c>
      <c r="AT19" t="s">
        <v>84</v>
      </c>
      <c r="AU19" t="s">
        <v>36</v>
      </c>
      <c r="AV19" t="s">
        <v>7</v>
      </c>
      <c r="AW19" t="s">
        <v>20</v>
      </c>
      <c r="BA19" t="s">
        <v>387</v>
      </c>
      <c r="BB19" t="s">
        <v>388</v>
      </c>
      <c r="BC19" t="s">
        <v>132</v>
      </c>
      <c r="BD19" t="s">
        <v>188</v>
      </c>
      <c r="BE19" t="s">
        <v>139</v>
      </c>
      <c r="BF19" t="s">
        <v>26</v>
      </c>
      <c r="BG19" t="s">
        <v>389</v>
      </c>
      <c r="BH19" t="s">
        <v>62</v>
      </c>
      <c r="BI19" t="s">
        <v>182</v>
      </c>
      <c r="BJ19" t="s">
        <v>25</v>
      </c>
      <c r="BK19" t="s">
        <v>390</v>
      </c>
      <c r="BO19" t="s">
        <v>244</v>
      </c>
      <c r="BP19" t="s">
        <v>26</v>
      </c>
      <c r="BQ19" t="s">
        <v>130</v>
      </c>
      <c r="BR19" t="s">
        <v>52</v>
      </c>
      <c r="BS19" t="s">
        <v>127</v>
      </c>
      <c r="BT19" t="s">
        <v>207</v>
      </c>
      <c r="BU19" t="s">
        <v>245</v>
      </c>
      <c r="BV19" t="s">
        <v>96</v>
      </c>
      <c r="BW19" t="s">
        <v>132</v>
      </c>
      <c r="BX19" t="s">
        <v>184</v>
      </c>
      <c r="BY19" t="s">
        <v>121</v>
      </c>
      <c r="CC19" t="s">
        <v>440</v>
      </c>
      <c r="CQ19" t="s">
        <v>380</v>
      </c>
      <c r="CR19" t="s">
        <v>26</v>
      </c>
      <c r="CS19" t="s">
        <v>127</v>
      </c>
      <c r="CT19" t="s">
        <v>130</v>
      </c>
      <c r="CU19" t="s">
        <v>242</v>
      </c>
      <c r="CV19" t="s">
        <v>327</v>
      </c>
      <c r="CW19" t="s">
        <v>344</v>
      </c>
      <c r="CX19" t="s">
        <v>28</v>
      </c>
      <c r="CY19" t="s">
        <v>83</v>
      </c>
      <c r="CZ19" t="s">
        <v>37</v>
      </c>
      <c r="DA19" t="s">
        <v>381</v>
      </c>
      <c r="DD19" t="s">
        <v>504</v>
      </c>
      <c r="DE19" t="s">
        <v>479</v>
      </c>
      <c r="DR19" t="s">
        <v>120</v>
      </c>
      <c r="DS19" t="s">
        <v>26</v>
      </c>
      <c r="DT19" t="s">
        <v>93</v>
      </c>
      <c r="DU19" t="s">
        <v>121</v>
      </c>
      <c r="DV19" t="s">
        <v>122</v>
      </c>
      <c r="DW19" t="s">
        <v>123</v>
      </c>
      <c r="DX19" t="s">
        <v>124</v>
      </c>
      <c r="DY19" t="s">
        <v>125</v>
      </c>
      <c r="DZ19" t="s">
        <v>126</v>
      </c>
      <c r="EA19" t="s">
        <v>127</v>
      </c>
      <c r="EB19" t="s">
        <v>128</v>
      </c>
      <c r="EE19" t="s">
        <v>120</v>
      </c>
      <c r="EF19" t="s">
        <v>26</v>
      </c>
      <c r="EG19" t="s">
        <v>93</v>
      </c>
      <c r="EH19" t="s">
        <v>121</v>
      </c>
      <c r="EI19" t="s">
        <v>122</v>
      </c>
      <c r="EJ19" t="s">
        <v>123</v>
      </c>
      <c r="EK19" t="s">
        <v>124</v>
      </c>
      <c r="EL19" t="s">
        <v>125</v>
      </c>
      <c r="EM19" t="s">
        <v>126</v>
      </c>
      <c r="EN19" t="s">
        <v>127</v>
      </c>
      <c r="EO19" t="s">
        <v>128</v>
      </c>
      <c r="ER19" t="s">
        <v>120</v>
      </c>
      <c r="ES19" t="s">
        <v>26</v>
      </c>
      <c r="ET19" t="s">
        <v>93</v>
      </c>
      <c r="EU19" t="s">
        <v>121</v>
      </c>
      <c r="EV19" t="s">
        <v>122</v>
      </c>
      <c r="EW19" t="s">
        <v>123</v>
      </c>
      <c r="EX19" t="s">
        <v>124</v>
      </c>
      <c r="EY19" t="s">
        <v>125</v>
      </c>
      <c r="EZ19" t="s">
        <v>126</v>
      </c>
      <c r="FA19" t="s">
        <v>127</v>
      </c>
      <c r="FB19" t="s">
        <v>128</v>
      </c>
      <c r="FE19" t="s">
        <v>321</v>
      </c>
      <c r="FF19" t="s">
        <v>204</v>
      </c>
      <c r="FG19" t="s">
        <v>199</v>
      </c>
      <c r="FH19" t="s">
        <v>26</v>
      </c>
      <c r="FI19" t="s">
        <v>139</v>
      </c>
      <c r="FJ19" t="s">
        <v>48</v>
      </c>
      <c r="FK19" t="s">
        <v>148</v>
      </c>
      <c r="FL19" t="s">
        <v>52</v>
      </c>
      <c r="FM19" t="s">
        <v>322</v>
      </c>
      <c r="FN19" t="s">
        <v>91</v>
      </c>
      <c r="FO19" t="s">
        <v>4</v>
      </c>
      <c r="FR19" t="s">
        <v>120</v>
      </c>
      <c r="FS19" t="s">
        <v>26</v>
      </c>
      <c r="FT19" t="s">
        <v>93</v>
      </c>
      <c r="FU19" t="s">
        <v>121</v>
      </c>
      <c r="FV19" t="s">
        <v>122</v>
      </c>
      <c r="FW19" t="s">
        <v>123</v>
      </c>
      <c r="FX19" t="s">
        <v>124</v>
      </c>
      <c r="FY19" t="s">
        <v>125</v>
      </c>
      <c r="FZ19" t="s">
        <v>126</v>
      </c>
      <c r="GA19" t="s">
        <v>127</v>
      </c>
      <c r="GB19" t="s">
        <v>128</v>
      </c>
      <c r="GE19" t="s">
        <v>120</v>
      </c>
      <c r="GF19" t="s">
        <v>26</v>
      </c>
      <c r="GG19" t="s">
        <v>93</v>
      </c>
      <c r="GH19" t="s">
        <v>121</v>
      </c>
      <c r="GI19" t="s">
        <v>122</v>
      </c>
      <c r="GJ19" t="s">
        <v>123</v>
      </c>
      <c r="GK19" t="s">
        <v>124</v>
      </c>
      <c r="GL19" t="s">
        <v>125</v>
      </c>
      <c r="GM19" t="s">
        <v>126</v>
      </c>
      <c r="GN19" t="s">
        <v>127</v>
      </c>
      <c r="GO19" t="s">
        <v>128</v>
      </c>
    </row>
    <row r="20" spans="1:197" x14ac:dyDescent="0.25">
      <c r="A20" t="s">
        <v>129</v>
      </c>
      <c r="B20" t="s">
        <v>26</v>
      </c>
      <c r="C20" t="s">
        <v>130</v>
      </c>
      <c r="D20" t="s">
        <v>131</v>
      </c>
      <c r="E20" t="s">
        <v>27</v>
      </c>
      <c r="F20" t="s">
        <v>132</v>
      </c>
      <c r="G20" t="s">
        <v>133</v>
      </c>
      <c r="H20" t="s">
        <v>134</v>
      </c>
      <c r="I20" t="s">
        <v>6</v>
      </c>
      <c r="J20" t="s">
        <v>135</v>
      </c>
      <c r="K20" t="s">
        <v>136</v>
      </c>
      <c r="Y20" t="s">
        <v>244</v>
      </c>
      <c r="Z20" t="s">
        <v>26</v>
      </c>
      <c r="AA20" t="s">
        <v>130</v>
      </c>
      <c r="AB20" t="s">
        <v>52</v>
      </c>
      <c r="AC20" t="s">
        <v>127</v>
      </c>
      <c r="AD20" t="s">
        <v>207</v>
      </c>
      <c r="AE20" t="s">
        <v>245</v>
      </c>
      <c r="AF20" t="s">
        <v>96</v>
      </c>
      <c r="AG20" t="s">
        <v>132</v>
      </c>
      <c r="AH20" t="s">
        <v>184</v>
      </c>
      <c r="AI20" t="s">
        <v>121</v>
      </c>
      <c r="AM20" t="s">
        <v>352</v>
      </c>
      <c r="AN20" t="s">
        <v>51</v>
      </c>
      <c r="AO20" t="s">
        <v>353</v>
      </c>
      <c r="AP20" t="s">
        <v>344</v>
      </c>
      <c r="AQ20" t="s">
        <v>60</v>
      </c>
      <c r="AR20" t="s">
        <v>26</v>
      </c>
      <c r="AS20" t="s">
        <v>24</v>
      </c>
      <c r="AT20" t="s">
        <v>96</v>
      </c>
      <c r="AU20" t="s">
        <v>354</v>
      </c>
      <c r="AV20" t="s">
        <v>163</v>
      </c>
      <c r="AW20" t="s">
        <v>81</v>
      </c>
      <c r="BO20" t="s">
        <v>331</v>
      </c>
      <c r="BP20" t="s">
        <v>121</v>
      </c>
      <c r="BQ20" t="s">
        <v>242</v>
      </c>
      <c r="BR20" t="s">
        <v>241</v>
      </c>
      <c r="BS20" t="s">
        <v>52</v>
      </c>
      <c r="BT20" t="s">
        <v>330</v>
      </c>
      <c r="BU20" t="s">
        <v>4</v>
      </c>
      <c r="BV20" t="s">
        <v>26</v>
      </c>
      <c r="BW20" t="s">
        <v>245</v>
      </c>
      <c r="BX20" t="s">
        <v>28</v>
      </c>
      <c r="BY20" t="s">
        <v>277</v>
      </c>
      <c r="CC20" t="s">
        <v>348</v>
      </c>
      <c r="CD20" t="s">
        <v>349</v>
      </c>
      <c r="CE20" t="s">
        <v>29</v>
      </c>
      <c r="CF20" t="s">
        <v>139</v>
      </c>
      <c r="CG20" t="s">
        <v>350</v>
      </c>
      <c r="CH20" t="s">
        <v>222</v>
      </c>
      <c r="CI20" t="s">
        <v>184</v>
      </c>
      <c r="CJ20" t="s">
        <v>37</v>
      </c>
      <c r="CK20" t="s">
        <v>62</v>
      </c>
      <c r="CL20" t="s">
        <v>64</v>
      </c>
      <c r="CM20" t="s">
        <v>351</v>
      </c>
      <c r="DD20">
        <f>5/8*100</f>
        <v>62.5</v>
      </c>
      <c r="DE20" t="s">
        <v>289</v>
      </c>
      <c r="DF20" t="s">
        <v>290</v>
      </c>
      <c r="DG20" t="s">
        <v>26</v>
      </c>
      <c r="DH20" t="s">
        <v>222</v>
      </c>
      <c r="DI20" t="s">
        <v>282</v>
      </c>
      <c r="DJ20" t="s">
        <v>291</v>
      </c>
      <c r="DK20" t="s">
        <v>139</v>
      </c>
      <c r="DL20" t="s">
        <v>292</v>
      </c>
      <c r="DM20" t="s">
        <v>24</v>
      </c>
      <c r="DN20" t="s">
        <v>293</v>
      </c>
      <c r="DO20" t="s">
        <v>74</v>
      </c>
      <c r="DR20" t="s">
        <v>244</v>
      </c>
      <c r="DS20" t="s">
        <v>26</v>
      </c>
      <c r="DT20" t="s">
        <v>130</v>
      </c>
      <c r="DU20" t="s">
        <v>52</v>
      </c>
      <c r="DV20" t="s">
        <v>127</v>
      </c>
      <c r="DW20" t="s">
        <v>207</v>
      </c>
      <c r="DX20" t="s">
        <v>245</v>
      </c>
      <c r="DY20" t="s">
        <v>96</v>
      </c>
      <c r="DZ20" t="s">
        <v>132</v>
      </c>
      <c r="EA20" t="s">
        <v>184</v>
      </c>
      <c r="EB20" t="s">
        <v>121</v>
      </c>
      <c r="EE20" t="s">
        <v>244</v>
      </c>
      <c r="EF20" t="s">
        <v>26</v>
      </c>
      <c r="EG20" t="s">
        <v>130</v>
      </c>
      <c r="EH20" t="s">
        <v>52</v>
      </c>
      <c r="EI20" t="s">
        <v>127</v>
      </c>
      <c r="EJ20" t="s">
        <v>207</v>
      </c>
      <c r="EK20" t="s">
        <v>245</v>
      </c>
      <c r="EL20" t="s">
        <v>96</v>
      </c>
      <c r="EM20" t="s">
        <v>132</v>
      </c>
      <c r="EN20" t="s">
        <v>184</v>
      </c>
      <c r="EO20" t="s">
        <v>121</v>
      </c>
      <c r="ER20" t="s">
        <v>11</v>
      </c>
      <c r="ES20" t="s">
        <v>12</v>
      </c>
      <c r="ET20" t="s">
        <v>13</v>
      </c>
      <c r="EU20" t="s">
        <v>14</v>
      </c>
      <c r="EV20" t="s">
        <v>15</v>
      </c>
      <c r="EW20" t="s">
        <v>16</v>
      </c>
      <c r="EX20" t="s">
        <v>17</v>
      </c>
      <c r="EY20" t="s">
        <v>18</v>
      </c>
      <c r="EZ20" t="s">
        <v>19</v>
      </c>
      <c r="FA20" t="s">
        <v>20</v>
      </c>
      <c r="FB20" t="s">
        <v>21</v>
      </c>
      <c r="FE20" t="s">
        <v>120</v>
      </c>
      <c r="FF20" t="s">
        <v>26</v>
      </c>
      <c r="FG20" t="s">
        <v>93</v>
      </c>
      <c r="FH20" t="s">
        <v>121</v>
      </c>
      <c r="FI20" t="s">
        <v>122</v>
      </c>
      <c r="FJ20" t="s">
        <v>123</v>
      </c>
      <c r="FK20" t="s">
        <v>124</v>
      </c>
      <c r="FL20" t="s">
        <v>125</v>
      </c>
      <c r="FM20" t="s">
        <v>126</v>
      </c>
      <c r="FN20" t="s">
        <v>127</v>
      </c>
      <c r="FO20" t="s">
        <v>128</v>
      </c>
      <c r="FR20" t="s">
        <v>11</v>
      </c>
      <c r="FS20" t="s">
        <v>12</v>
      </c>
      <c r="FT20" t="s">
        <v>13</v>
      </c>
      <c r="FU20" t="s">
        <v>14</v>
      </c>
      <c r="FV20" t="s">
        <v>15</v>
      </c>
      <c r="FW20" t="s">
        <v>16</v>
      </c>
      <c r="FX20" t="s">
        <v>17</v>
      </c>
      <c r="FY20" t="s">
        <v>18</v>
      </c>
      <c r="FZ20" t="s">
        <v>19</v>
      </c>
      <c r="GA20" t="s">
        <v>20</v>
      </c>
      <c r="GB20" t="s">
        <v>21</v>
      </c>
      <c r="GE20" t="s">
        <v>11</v>
      </c>
      <c r="GF20" t="s">
        <v>12</v>
      </c>
      <c r="GG20" t="s">
        <v>13</v>
      </c>
      <c r="GH20" t="s">
        <v>14</v>
      </c>
      <c r="GI20" t="s">
        <v>15</v>
      </c>
      <c r="GJ20" t="s">
        <v>16</v>
      </c>
      <c r="GK20" t="s">
        <v>17</v>
      </c>
      <c r="GL20" t="s">
        <v>18</v>
      </c>
      <c r="GM20" t="s">
        <v>19</v>
      </c>
      <c r="GN20" t="s">
        <v>20</v>
      </c>
      <c r="GO20" t="s">
        <v>21</v>
      </c>
    </row>
    <row r="21" spans="1:197" x14ac:dyDescent="0.25">
      <c r="A21" t="s">
        <v>137</v>
      </c>
      <c r="B21" t="s">
        <v>138</v>
      </c>
      <c r="C21" t="s">
        <v>139</v>
      </c>
      <c r="D21" t="s">
        <v>140</v>
      </c>
      <c r="E21" t="s">
        <v>121</v>
      </c>
      <c r="F21" t="s">
        <v>121</v>
      </c>
      <c r="G21" t="s">
        <v>141</v>
      </c>
      <c r="H21" t="s">
        <v>26</v>
      </c>
      <c r="I21" t="s">
        <v>142</v>
      </c>
      <c r="J21" t="s">
        <v>143</v>
      </c>
      <c r="K21" t="s">
        <v>27</v>
      </c>
      <c r="Y21" t="s">
        <v>256</v>
      </c>
      <c r="Z21" t="s">
        <v>37</v>
      </c>
      <c r="AA21" t="s">
        <v>183</v>
      </c>
      <c r="AB21" t="s">
        <v>26</v>
      </c>
      <c r="AC21" t="s">
        <v>27</v>
      </c>
      <c r="AD21" t="s">
        <v>148</v>
      </c>
      <c r="AE21" t="s">
        <v>105</v>
      </c>
      <c r="AF21" t="s">
        <v>79</v>
      </c>
      <c r="AG21" t="s">
        <v>28</v>
      </c>
      <c r="AH21" t="s">
        <v>62</v>
      </c>
      <c r="AI21" t="s">
        <v>73</v>
      </c>
      <c r="AM21" t="s">
        <v>355</v>
      </c>
      <c r="AN21" t="s">
        <v>26</v>
      </c>
      <c r="AO21" t="s">
        <v>88</v>
      </c>
      <c r="AP21" t="s">
        <v>344</v>
      </c>
      <c r="AQ21" t="s">
        <v>327</v>
      </c>
      <c r="AR21" t="s">
        <v>163</v>
      </c>
      <c r="AS21" t="s">
        <v>8</v>
      </c>
      <c r="AT21" t="s">
        <v>292</v>
      </c>
      <c r="AU21" t="s">
        <v>6</v>
      </c>
      <c r="AV21" t="s">
        <v>28</v>
      </c>
      <c r="AW21" t="s">
        <v>86</v>
      </c>
      <c r="BA21" t="s">
        <v>416</v>
      </c>
      <c r="BO21" t="s">
        <v>367</v>
      </c>
      <c r="BP21" t="s">
        <v>132</v>
      </c>
      <c r="BQ21" t="s">
        <v>368</v>
      </c>
      <c r="BR21" t="s">
        <v>96</v>
      </c>
      <c r="BS21" t="s">
        <v>130</v>
      </c>
      <c r="BT21" t="s">
        <v>369</v>
      </c>
      <c r="BU21" t="s">
        <v>26</v>
      </c>
      <c r="BV21" t="s">
        <v>369</v>
      </c>
      <c r="BW21" t="s">
        <v>121</v>
      </c>
      <c r="BX21" t="s">
        <v>368</v>
      </c>
      <c r="BY21" t="s">
        <v>370</v>
      </c>
      <c r="CQ21" t="s">
        <v>458</v>
      </c>
      <c r="DE21" t="s">
        <v>321</v>
      </c>
      <c r="DF21" t="s">
        <v>204</v>
      </c>
      <c r="DG21" t="s">
        <v>199</v>
      </c>
      <c r="DH21" t="s">
        <v>26</v>
      </c>
      <c r="DI21" t="s">
        <v>139</v>
      </c>
      <c r="DJ21" t="s">
        <v>48</v>
      </c>
      <c r="DK21" t="s">
        <v>148</v>
      </c>
      <c r="DL21" t="s">
        <v>52</v>
      </c>
      <c r="DM21" t="s">
        <v>322</v>
      </c>
      <c r="DN21" t="s">
        <v>91</v>
      </c>
      <c r="DO21" t="s">
        <v>4</v>
      </c>
      <c r="DR21" t="s">
        <v>331</v>
      </c>
      <c r="DS21" t="s">
        <v>121</v>
      </c>
      <c r="DT21" t="s">
        <v>242</v>
      </c>
      <c r="DU21" t="s">
        <v>241</v>
      </c>
      <c r="DV21" t="s">
        <v>52</v>
      </c>
      <c r="DW21" t="s">
        <v>330</v>
      </c>
      <c r="DX21" t="s">
        <v>4</v>
      </c>
      <c r="DY21" t="s">
        <v>26</v>
      </c>
      <c r="DZ21" t="s">
        <v>245</v>
      </c>
      <c r="EA21" t="s">
        <v>28</v>
      </c>
      <c r="EB21" t="s">
        <v>277</v>
      </c>
      <c r="EE21" t="s">
        <v>367</v>
      </c>
      <c r="EF21" t="s">
        <v>132</v>
      </c>
      <c r="EG21" t="s">
        <v>368</v>
      </c>
      <c r="EH21" t="s">
        <v>96</v>
      </c>
      <c r="EI21" t="s">
        <v>130</v>
      </c>
      <c r="EJ21" t="s">
        <v>369</v>
      </c>
      <c r="EK21" t="s">
        <v>26</v>
      </c>
      <c r="EL21" t="s">
        <v>369</v>
      </c>
      <c r="EM21" t="s">
        <v>121</v>
      </c>
      <c r="EN21" t="s">
        <v>368</v>
      </c>
      <c r="EO21" t="s">
        <v>370</v>
      </c>
      <c r="ER21" t="s">
        <v>144</v>
      </c>
      <c r="ES21" t="s">
        <v>145</v>
      </c>
      <c r="ET21" t="s">
        <v>37</v>
      </c>
      <c r="EU21" t="s">
        <v>37</v>
      </c>
      <c r="EV21" t="s">
        <v>125</v>
      </c>
      <c r="EW21" t="s">
        <v>140</v>
      </c>
      <c r="EX21" t="s">
        <v>146</v>
      </c>
      <c r="EY21" t="s">
        <v>4</v>
      </c>
      <c r="EZ21" t="s">
        <v>147</v>
      </c>
      <c r="FA21" t="s">
        <v>148</v>
      </c>
      <c r="FB21" t="s">
        <v>149</v>
      </c>
      <c r="FE21" t="s">
        <v>11</v>
      </c>
      <c r="FF21" t="s">
        <v>12</v>
      </c>
      <c r="FG21" t="s">
        <v>13</v>
      </c>
      <c r="FH21" t="s">
        <v>14</v>
      </c>
      <c r="FI21" t="s">
        <v>15</v>
      </c>
      <c r="FJ21" t="s">
        <v>16</v>
      </c>
      <c r="FK21" t="s">
        <v>17</v>
      </c>
      <c r="FL21" t="s">
        <v>18</v>
      </c>
      <c r="FM21" t="s">
        <v>19</v>
      </c>
      <c r="FN21" t="s">
        <v>20</v>
      </c>
      <c r="FO21" t="s">
        <v>21</v>
      </c>
      <c r="FR21" t="s">
        <v>144</v>
      </c>
      <c r="FS21" t="s">
        <v>145</v>
      </c>
      <c r="FT21" t="s">
        <v>37</v>
      </c>
      <c r="FU21" t="s">
        <v>37</v>
      </c>
      <c r="FV21" t="s">
        <v>125</v>
      </c>
      <c r="FW21" t="s">
        <v>140</v>
      </c>
      <c r="FX21" t="s">
        <v>146</v>
      </c>
      <c r="FY21" t="s">
        <v>4</v>
      </c>
      <c r="FZ21" t="s">
        <v>147</v>
      </c>
      <c r="GA21" t="s">
        <v>148</v>
      </c>
      <c r="GB21" t="s">
        <v>149</v>
      </c>
      <c r="GE21" t="s">
        <v>144</v>
      </c>
      <c r="GF21" t="s">
        <v>145</v>
      </c>
      <c r="GG21" t="s">
        <v>37</v>
      </c>
      <c r="GH21" t="s">
        <v>37</v>
      </c>
      <c r="GI21" t="s">
        <v>125</v>
      </c>
      <c r="GJ21" t="s">
        <v>140</v>
      </c>
      <c r="GK21" t="s">
        <v>146</v>
      </c>
      <c r="GL21" t="s">
        <v>4</v>
      </c>
      <c r="GM21" t="s">
        <v>147</v>
      </c>
      <c r="GN21" t="s">
        <v>148</v>
      </c>
      <c r="GO21" t="s">
        <v>149</v>
      </c>
    </row>
    <row r="22" spans="1:197" x14ac:dyDescent="0.25">
      <c r="A22" t="s">
        <v>144</v>
      </c>
      <c r="B22" t="s">
        <v>145</v>
      </c>
      <c r="C22" t="s">
        <v>37</v>
      </c>
      <c r="D22" t="s">
        <v>37</v>
      </c>
      <c r="E22" t="s">
        <v>125</v>
      </c>
      <c r="F22" t="s">
        <v>140</v>
      </c>
      <c r="G22" t="s">
        <v>146</v>
      </c>
      <c r="H22" t="s">
        <v>4</v>
      </c>
      <c r="I22" t="s">
        <v>147</v>
      </c>
      <c r="J22" t="s">
        <v>148</v>
      </c>
      <c r="K22" t="s">
        <v>149</v>
      </c>
      <c r="Y22" t="s">
        <v>269</v>
      </c>
      <c r="Z22" t="s">
        <v>139</v>
      </c>
      <c r="AA22" t="s">
        <v>270</v>
      </c>
      <c r="AB22" t="s">
        <v>249</v>
      </c>
      <c r="AC22" t="s">
        <v>37</v>
      </c>
      <c r="AD22" t="s">
        <v>268</v>
      </c>
      <c r="AE22" t="s">
        <v>26</v>
      </c>
      <c r="AF22" t="s">
        <v>20</v>
      </c>
      <c r="AG22" t="s">
        <v>27</v>
      </c>
      <c r="AH22" t="s">
        <v>271</v>
      </c>
      <c r="AI22" t="s">
        <v>62</v>
      </c>
      <c r="AM22" t="s">
        <v>356</v>
      </c>
      <c r="AN22" t="s">
        <v>357</v>
      </c>
      <c r="AO22" t="s">
        <v>8</v>
      </c>
      <c r="AP22" t="s">
        <v>17</v>
      </c>
      <c r="AQ22" t="s">
        <v>6</v>
      </c>
      <c r="AR22" t="s">
        <v>42</v>
      </c>
      <c r="AS22" t="s">
        <v>74</v>
      </c>
      <c r="AT22" t="s">
        <v>26</v>
      </c>
      <c r="AU22" t="s">
        <v>358</v>
      </c>
      <c r="AV22" t="s">
        <v>182</v>
      </c>
      <c r="AW22" t="s">
        <v>290</v>
      </c>
      <c r="BA22" t="s">
        <v>11</v>
      </c>
      <c r="BB22" t="s">
        <v>12</v>
      </c>
      <c r="BC22" t="s">
        <v>13</v>
      </c>
      <c r="BD22" t="s">
        <v>14</v>
      </c>
      <c r="BE22" t="s">
        <v>15</v>
      </c>
      <c r="BF22" t="s">
        <v>16</v>
      </c>
      <c r="BG22" t="s">
        <v>17</v>
      </c>
      <c r="BH22" t="s">
        <v>18</v>
      </c>
      <c r="BI22" t="s">
        <v>19</v>
      </c>
      <c r="BJ22" t="s">
        <v>20</v>
      </c>
      <c r="BK22" t="s">
        <v>21</v>
      </c>
      <c r="CC22" t="s">
        <v>438</v>
      </c>
      <c r="CQ22" t="s">
        <v>348</v>
      </c>
      <c r="CR22" t="s">
        <v>349</v>
      </c>
      <c r="CS22" t="s">
        <v>29</v>
      </c>
      <c r="CT22" t="s">
        <v>139</v>
      </c>
      <c r="CU22" t="s">
        <v>350</v>
      </c>
      <c r="CV22" t="s">
        <v>222</v>
      </c>
      <c r="CW22" t="s">
        <v>184</v>
      </c>
      <c r="CX22" t="s">
        <v>37</v>
      </c>
      <c r="CY22" t="s">
        <v>62</v>
      </c>
      <c r="CZ22" t="s">
        <v>64</v>
      </c>
      <c r="DA22" t="s">
        <v>351</v>
      </c>
      <c r="DR22" t="s">
        <v>367</v>
      </c>
      <c r="DS22" t="s">
        <v>132</v>
      </c>
      <c r="DT22" t="s">
        <v>368</v>
      </c>
      <c r="DU22" t="s">
        <v>96</v>
      </c>
      <c r="DV22" t="s">
        <v>130</v>
      </c>
      <c r="DW22" t="s">
        <v>369</v>
      </c>
      <c r="DX22" t="s">
        <v>26</v>
      </c>
      <c r="DY22" t="s">
        <v>369</v>
      </c>
      <c r="DZ22" t="s">
        <v>121</v>
      </c>
      <c r="EA22" t="s">
        <v>368</v>
      </c>
      <c r="EB22" t="s">
        <v>370</v>
      </c>
      <c r="EE22" t="s">
        <v>11</v>
      </c>
      <c r="EF22" t="s">
        <v>12</v>
      </c>
      <c r="EG22" t="s">
        <v>13</v>
      </c>
      <c r="EH22" t="s">
        <v>14</v>
      </c>
      <c r="EI22" t="s">
        <v>15</v>
      </c>
      <c r="EJ22" t="s">
        <v>16</v>
      </c>
      <c r="EK22" t="s">
        <v>17</v>
      </c>
      <c r="EL22" t="s">
        <v>18</v>
      </c>
      <c r="EM22" t="s">
        <v>19</v>
      </c>
      <c r="EN22" t="s">
        <v>20</v>
      </c>
      <c r="EO22" t="s">
        <v>21</v>
      </c>
      <c r="ER22" t="s">
        <v>160</v>
      </c>
      <c r="ES22" t="s">
        <v>161</v>
      </c>
      <c r="ET22" t="s">
        <v>162</v>
      </c>
      <c r="EU22" t="s">
        <v>163</v>
      </c>
      <c r="EV22" t="s">
        <v>140</v>
      </c>
      <c r="EW22" t="s">
        <v>3</v>
      </c>
      <c r="EX22" t="s">
        <v>164</v>
      </c>
      <c r="EY22" t="s">
        <v>165</v>
      </c>
      <c r="EZ22" t="s">
        <v>166</v>
      </c>
      <c r="FA22" t="s">
        <v>167</v>
      </c>
      <c r="FB22" t="s">
        <v>159</v>
      </c>
      <c r="FE22" t="s">
        <v>144</v>
      </c>
      <c r="FF22" t="s">
        <v>145</v>
      </c>
      <c r="FG22" t="s">
        <v>37</v>
      </c>
      <c r="FH22" t="s">
        <v>37</v>
      </c>
      <c r="FI22" t="s">
        <v>125</v>
      </c>
      <c r="FJ22" t="s">
        <v>140</v>
      </c>
      <c r="FK22" t="s">
        <v>146</v>
      </c>
      <c r="FL22" t="s">
        <v>4</v>
      </c>
      <c r="FM22" t="s">
        <v>147</v>
      </c>
      <c r="FN22" t="s">
        <v>148</v>
      </c>
      <c r="FO22" t="s">
        <v>149</v>
      </c>
      <c r="FR22" t="s">
        <v>160</v>
      </c>
      <c r="FS22" t="s">
        <v>161</v>
      </c>
      <c r="FT22" t="s">
        <v>162</v>
      </c>
      <c r="FU22" t="s">
        <v>163</v>
      </c>
      <c r="FV22" t="s">
        <v>140</v>
      </c>
      <c r="FW22" t="s">
        <v>3</v>
      </c>
      <c r="FX22" t="s">
        <v>164</v>
      </c>
      <c r="FY22" t="s">
        <v>165</v>
      </c>
      <c r="FZ22" t="s">
        <v>166</v>
      </c>
      <c r="GA22" t="s">
        <v>167</v>
      </c>
      <c r="GB22" t="s">
        <v>159</v>
      </c>
      <c r="GE22" t="s">
        <v>160</v>
      </c>
      <c r="GF22" t="s">
        <v>161</v>
      </c>
      <c r="GG22" t="s">
        <v>162</v>
      </c>
      <c r="GH22" t="s">
        <v>163</v>
      </c>
      <c r="GI22" t="s">
        <v>140</v>
      </c>
      <c r="GJ22" t="s">
        <v>3</v>
      </c>
      <c r="GK22" t="s">
        <v>164</v>
      </c>
      <c r="GL22" t="s">
        <v>165</v>
      </c>
      <c r="GM22" t="s">
        <v>166</v>
      </c>
      <c r="GN22" t="s">
        <v>167</v>
      </c>
      <c r="GO22" t="s">
        <v>159</v>
      </c>
    </row>
    <row r="23" spans="1:197" x14ac:dyDescent="0.25">
      <c r="A23" t="s">
        <v>150</v>
      </c>
      <c r="B23" t="s">
        <v>151</v>
      </c>
      <c r="C23" t="s">
        <v>140</v>
      </c>
      <c r="D23" t="s">
        <v>145</v>
      </c>
      <c r="E23" t="s">
        <v>152</v>
      </c>
      <c r="F23" t="s">
        <v>153</v>
      </c>
      <c r="G23" t="s">
        <v>154</v>
      </c>
      <c r="H23" t="s">
        <v>121</v>
      </c>
      <c r="I23" t="s">
        <v>73</v>
      </c>
      <c r="J23" t="s">
        <v>24</v>
      </c>
      <c r="K23" t="s">
        <v>155</v>
      </c>
      <c r="Y23" t="s">
        <v>284</v>
      </c>
      <c r="Z23" t="s">
        <v>57</v>
      </c>
      <c r="AA23" t="s">
        <v>56</v>
      </c>
      <c r="AB23" t="s">
        <v>285</v>
      </c>
      <c r="AC23" t="s">
        <v>2</v>
      </c>
      <c r="AD23" t="s">
        <v>175</v>
      </c>
      <c r="AE23" t="s">
        <v>286</v>
      </c>
      <c r="AF23" t="s">
        <v>287</v>
      </c>
      <c r="AG23" t="s">
        <v>288</v>
      </c>
      <c r="AH23" t="s">
        <v>26</v>
      </c>
      <c r="AI23" t="s">
        <v>24</v>
      </c>
      <c r="AM23" t="s">
        <v>367</v>
      </c>
      <c r="AN23" t="s">
        <v>132</v>
      </c>
      <c r="AO23" t="s">
        <v>368</v>
      </c>
      <c r="AP23" t="s">
        <v>96</v>
      </c>
      <c r="AQ23" t="s">
        <v>130</v>
      </c>
      <c r="AR23" t="s">
        <v>369</v>
      </c>
      <c r="AS23" t="s">
        <v>26</v>
      </c>
      <c r="AT23" t="s">
        <v>369</v>
      </c>
      <c r="AU23" t="s">
        <v>121</v>
      </c>
      <c r="AV23" t="s">
        <v>368</v>
      </c>
      <c r="AW23" t="s">
        <v>370</v>
      </c>
      <c r="BA23" t="s">
        <v>110</v>
      </c>
      <c r="BB23" t="s">
        <v>8</v>
      </c>
      <c r="BC23" t="s">
        <v>2</v>
      </c>
      <c r="BD23" t="s">
        <v>111</v>
      </c>
      <c r="BE23" t="s">
        <v>56</v>
      </c>
      <c r="BF23" t="s">
        <v>92</v>
      </c>
      <c r="BG23" t="s">
        <v>8</v>
      </c>
      <c r="BH23" t="s">
        <v>112</v>
      </c>
      <c r="BI23" t="s">
        <v>96</v>
      </c>
      <c r="BJ23" t="s">
        <v>113</v>
      </c>
      <c r="BK23" t="s">
        <v>114</v>
      </c>
      <c r="BO23" t="s">
        <v>423</v>
      </c>
      <c r="CC23" t="s">
        <v>120</v>
      </c>
      <c r="CD23" t="s">
        <v>26</v>
      </c>
      <c r="CE23" t="s">
        <v>93</v>
      </c>
      <c r="CF23" t="s">
        <v>121</v>
      </c>
      <c r="CG23" t="s">
        <v>122</v>
      </c>
      <c r="CH23" t="s">
        <v>123</v>
      </c>
      <c r="CI23" t="s">
        <v>124</v>
      </c>
      <c r="CJ23" t="s">
        <v>125</v>
      </c>
      <c r="CK23" t="s">
        <v>126</v>
      </c>
      <c r="CL23" t="s">
        <v>127</v>
      </c>
      <c r="CM23" t="s">
        <v>128</v>
      </c>
      <c r="DD23" t="s">
        <v>504</v>
      </c>
      <c r="DE23" t="s">
        <v>480</v>
      </c>
      <c r="DR23" t="s">
        <v>11</v>
      </c>
      <c r="DS23" t="s">
        <v>12</v>
      </c>
      <c r="DT23" t="s">
        <v>13</v>
      </c>
      <c r="DU23" t="s">
        <v>14</v>
      </c>
      <c r="DV23" t="s">
        <v>15</v>
      </c>
      <c r="DW23" t="s">
        <v>16</v>
      </c>
      <c r="DX23" t="s">
        <v>17</v>
      </c>
      <c r="DY23" t="s">
        <v>18</v>
      </c>
      <c r="DZ23" t="s">
        <v>19</v>
      </c>
      <c r="EA23" t="s">
        <v>20</v>
      </c>
      <c r="EB23" t="s">
        <v>21</v>
      </c>
      <c r="EE23" t="s">
        <v>110</v>
      </c>
      <c r="EF23" t="s">
        <v>8</v>
      </c>
      <c r="EG23" t="s">
        <v>2</v>
      </c>
      <c r="EH23" t="s">
        <v>111</v>
      </c>
      <c r="EI23" t="s">
        <v>56</v>
      </c>
      <c r="EJ23" t="s">
        <v>92</v>
      </c>
      <c r="EK23" t="s">
        <v>8</v>
      </c>
      <c r="EL23" t="s">
        <v>112</v>
      </c>
      <c r="EM23" t="s">
        <v>96</v>
      </c>
      <c r="EN23" t="s">
        <v>113</v>
      </c>
      <c r="EO23" t="s">
        <v>114</v>
      </c>
      <c r="ER23" t="s">
        <v>168</v>
      </c>
      <c r="ES23" t="s">
        <v>169</v>
      </c>
      <c r="ET23" t="s">
        <v>161</v>
      </c>
      <c r="EU23" t="s">
        <v>146</v>
      </c>
      <c r="EV23" t="s">
        <v>170</v>
      </c>
      <c r="EW23" t="s">
        <v>171</v>
      </c>
      <c r="EX23" t="s">
        <v>172</v>
      </c>
      <c r="EY23" t="s">
        <v>162</v>
      </c>
      <c r="EZ23" t="s">
        <v>159</v>
      </c>
      <c r="FA23" t="s">
        <v>4</v>
      </c>
      <c r="FB23" t="s">
        <v>173</v>
      </c>
      <c r="FE23" t="s">
        <v>160</v>
      </c>
      <c r="FF23" t="s">
        <v>161</v>
      </c>
      <c r="FG23" t="s">
        <v>162</v>
      </c>
      <c r="FH23" t="s">
        <v>163</v>
      </c>
      <c r="FI23" t="s">
        <v>140</v>
      </c>
      <c r="FJ23" t="s">
        <v>3</v>
      </c>
      <c r="FK23" t="s">
        <v>164</v>
      </c>
      <c r="FL23" t="s">
        <v>165</v>
      </c>
      <c r="FM23" t="s">
        <v>166</v>
      </c>
      <c r="FN23" t="s">
        <v>167</v>
      </c>
      <c r="FO23" t="s">
        <v>159</v>
      </c>
      <c r="FR23" t="s">
        <v>168</v>
      </c>
      <c r="FS23" t="s">
        <v>169</v>
      </c>
      <c r="FT23" t="s">
        <v>161</v>
      </c>
      <c r="FU23" t="s">
        <v>146</v>
      </c>
      <c r="FV23" t="s">
        <v>170</v>
      </c>
      <c r="FW23" t="s">
        <v>171</v>
      </c>
      <c r="FX23" t="s">
        <v>172</v>
      </c>
      <c r="FY23" t="s">
        <v>162</v>
      </c>
      <c r="FZ23" t="s">
        <v>159</v>
      </c>
      <c r="GA23" t="s">
        <v>4</v>
      </c>
      <c r="GB23" t="s">
        <v>173</v>
      </c>
      <c r="GE23" t="s">
        <v>168</v>
      </c>
      <c r="GF23" t="s">
        <v>169</v>
      </c>
      <c r="GG23" t="s">
        <v>161</v>
      </c>
      <c r="GH23" t="s">
        <v>146</v>
      </c>
      <c r="GI23" t="s">
        <v>170</v>
      </c>
      <c r="GJ23" t="s">
        <v>171</v>
      </c>
      <c r="GK23" t="s">
        <v>172</v>
      </c>
      <c r="GL23" t="s">
        <v>162</v>
      </c>
      <c r="GM23" t="s">
        <v>159</v>
      </c>
      <c r="GN23" t="s">
        <v>4</v>
      </c>
      <c r="GO23" t="s">
        <v>173</v>
      </c>
    </row>
    <row r="24" spans="1:197" x14ac:dyDescent="0.25">
      <c r="A24" t="s">
        <v>156</v>
      </c>
      <c r="B24" t="s">
        <v>145</v>
      </c>
      <c r="C24" t="s">
        <v>21</v>
      </c>
      <c r="D24" t="s">
        <v>157</v>
      </c>
      <c r="E24" t="s">
        <v>24</v>
      </c>
      <c r="F24" t="s">
        <v>39</v>
      </c>
      <c r="G24" t="s">
        <v>158</v>
      </c>
      <c r="H24" t="s">
        <v>139</v>
      </c>
      <c r="I24" t="s">
        <v>96</v>
      </c>
      <c r="J24" t="s">
        <v>151</v>
      </c>
      <c r="K24" t="s">
        <v>159</v>
      </c>
      <c r="Y24" t="s">
        <v>289</v>
      </c>
      <c r="Z24" t="s">
        <v>290</v>
      </c>
      <c r="AA24" t="s">
        <v>26</v>
      </c>
      <c r="AB24" t="s">
        <v>222</v>
      </c>
      <c r="AC24" t="s">
        <v>282</v>
      </c>
      <c r="AD24" t="s">
        <v>291</v>
      </c>
      <c r="AE24" t="s">
        <v>139</v>
      </c>
      <c r="AF24" t="s">
        <v>292</v>
      </c>
      <c r="AG24" t="s">
        <v>24</v>
      </c>
      <c r="AH24" t="s">
        <v>293</v>
      </c>
      <c r="AI24" t="s">
        <v>74</v>
      </c>
      <c r="AM24" t="s">
        <v>371</v>
      </c>
      <c r="AN24" t="s">
        <v>132</v>
      </c>
      <c r="AO24" t="s">
        <v>6</v>
      </c>
      <c r="AP24" t="s">
        <v>344</v>
      </c>
      <c r="AQ24" t="s">
        <v>372</v>
      </c>
      <c r="AR24" t="s">
        <v>55</v>
      </c>
      <c r="AS24" t="s">
        <v>64</v>
      </c>
      <c r="AT24" t="s">
        <v>373</v>
      </c>
      <c r="AU24" t="s">
        <v>26</v>
      </c>
      <c r="AV24" t="s">
        <v>374</v>
      </c>
      <c r="AW24" t="s">
        <v>188</v>
      </c>
      <c r="BA24" t="s">
        <v>144</v>
      </c>
      <c r="BB24" t="s">
        <v>145</v>
      </c>
      <c r="BC24" t="s">
        <v>37</v>
      </c>
      <c r="BD24" t="s">
        <v>37</v>
      </c>
      <c r="BE24" t="s">
        <v>125</v>
      </c>
      <c r="BF24" t="s">
        <v>140</v>
      </c>
      <c r="BG24" t="s">
        <v>146</v>
      </c>
      <c r="BH24" t="s">
        <v>4</v>
      </c>
      <c r="BI24" t="s">
        <v>147</v>
      </c>
      <c r="BJ24" t="s">
        <v>148</v>
      </c>
      <c r="BK24" t="s">
        <v>149</v>
      </c>
      <c r="BO24" t="s">
        <v>11</v>
      </c>
      <c r="BP24" t="s">
        <v>12</v>
      </c>
      <c r="BQ24" t="s">
        <v>13</v>
      </c>
      <c r="BR24" t="s">
        <v>14</v>
      </c>
      <c r="BS24" t="s">
        <v>15</v>
      </c>
      <c r="BT24" t="s">
        <v>16</v>
      </c>
      <c r="BU24" t="s">
        <v>17</v>
      </c>
      <c r="BV24" t="s">
        <v>18</v>
      </c>
      <c r="BW24" t="s">
        <v>19</v>
      </c>
      <c r="BX24" t="s">
        <v>20</v>
      </c>
      <c r="BY24" t="s">
        <v>21</v>
      </c>
      <c r="CC24" t="s">
        <v>244</v>
      </c>
      <c r="CD24" t="s">
        <v>26</v>
      </c>
      <c r="CE24" t="s">
        <v>130</v>
      </c>
      <c r="CF24" t="s">
        <v>52</v>
      </c>
      <c r="CG24" t="s">
        <v>127</v>
      </c>
      <c r="CH24" t="s">
        <v>207</v>
      </c>
      <c r="CI24" t="s">
        <v>245</v>
      </c>
      <c r="CJ24" t="s">
        <v>96</v>
      </c>
      <c r="CK24" t="s">
        <v>132</v>
      </c>
      <c r="CL24" t="s">
        <v>184</v>
      </c>
      <c r="CM24" t="s">
        <v>121</v>
      </c>
      <c r="CQ24" t="s">
        <v>457</v>
      </c>
      <c r="DD24">
        <f>5/8*100</f>
        <v>62.5</v>
      </c>
      <c r="DE24" t="s">
        <v>348</v>
      </c>
      <c r="DF24" t="s">
        <v>349</v>
      </c>
      <c r="DG24" t="s">
        <v>29</v>
      </c>
      <c r="DH24" t="s">
        <v>139</v>
      </c>
      <c r="DI24" t="s">
        <v>350</v>
      </c>
      <c r="DJ24" t="s">
        <v>222</v>
      </c>
      <c r="DK24" t="s">
        <v>184</v>
      </c>
      <c r="DL24" t="s">
        <v>37</v>
      </c>
      <c r="DM24" t="s">
        <v>62</v>
      </c>
      <c r="DN24" t="s">
        <v>64</v>
      </c>
      <c r="DO24" t="s">
        <v>351</v>
      </c>
      <c r="DR24" t="s">
        <v>110</v>
      </c>
      <c r="DS24" t="s">
        <v>8</v>
      </c>
      <c r="DT24" t="s">
        <v>2</v>
      </c>
      <c r="DU24" t="s">
        <v>111</v>
      </c>
      <c r="DV24" t="s">
        <v>56</v>
      </c>
      <c r="DW24" t="s">
        <v>92</v>
      </c>
      <c r="DX24" t="s">
        <v>8</v>
      </c>
      <c r="DY24" t="s">
        <v>112</v>
      </c>
      <c r="DZ24" t="s">
        <v>96</v>
      </c>
      <c r="EA24" t="s">
        <v>113</v>
      </c>
      <c r="EB24" t="s">
        <v>114</v>
      </c>
      <c r="EE24" t="s">
        <v>144</v>
      </c>
      <c r="EF24" t="s">
        <v>145</v>
      </c>
      <c r="EG24" t="s">
        <v>37</v>
      </c>
      <c r="EH24" t="s">
        <v>37</v>
      </c>
      <c r="EI24" t="s">
        <v>125</v>
      </c>
      <c r="EJ24" t="s">
        <v>140</v>
      </c>
      <c r="EK24" t="s">
        <v>146</v>
      </c>
      <c r="EL24" t="s">
        <v>4</v>
      </c>
      <c r="EM24" t="s">
        <v>147</v>
      </c>
      <c r="EN24" t="s">
        <v>148</v>
      </c>
      <c r="EO24" t="s">
        <v>149</v>
      </c>
      <c r="ER24" t="s">
        <v>174</v>
      </c>
      <c r="ES24" t="s">
        <v>37</v>
      </c>
      <c r="ET24" t="s">
        <v>147</v>
      </c>
      <c r="EU24" t="s">
        <v>175</v>
      </c>
      <c r="EV24" t="s">
        <v>149</v>
      </c>
      <c r="EW24" t="s">
        <v>170</v>
      </c>
      <c r="EX24" t="s">
        <v>176</v>
      </c>
      <c r="EY24" t="s">
        <v>177</v>
      </c>
      <c r="EZ24" t="s">
        <v>178</v>
      </c>
      <c r="FA24" t="s">
        <v>179</v>
      </c>
      <c r="FB24" t="s">
        <v>180</v>
      </c>
      <c r="FE24" t="s">
        <v>168</v>
      </c>
      <c r="FF24" t="s">
        <v>169</v>
      </c>
      <c r="FG24" t="s">
        <v>161</v>
      </c>
      <c r="FH24" t="s">
        <v>146</v>
      </c>
      <c r="FI24" t="s">
        <v>170</v>
      </c>
      <c r="FJ24" t="s">
        <v>171</v>
      </c>
      <c r="FK24" t="s">
        <v>172</v>
      </c>
      <c r="FL24" t="s">
        <v>162</v>
      </c>
      <c r="FM24" t="s">
        <v>159</v>
      </c>
      <c r="FN24" t="s">
        <v>4</v>
      </c>
      <c r="FO24" t="s">
        <v>173</v>
      </c>
      <c r="FR24" t="s">
        <v>174</v>
      </c>
      <c r="FS24" t="s">
        <v>37</v>
      </c>
      <c r="FT24" t="s">
        <v>147</v>
      </c>
      <c r="FU24" t="s">
        <v>175</v>
      </c>
      <c r="FV24" t="s">
        <v>149</v>
      </c>
      <c r="FW24" t="s">
        <v>170</v>
      </c>
      <c r="FX24" t="s">
        <v>176</v>
      </c>
      <c r="FY24" t="s">
        <v>177</v>
      </c>
      <c r="FZ24" t="s">
        <v>178</v>
      </c>
      <c r="GA24" t="s">
        <v>179</v>
      </c>
      <c r="GB24" t="s">
        <v>180</v>
      </c>
      <c r="GE24" t="s">
        <v>174</v>
      </c>
      <c r="GF24" t="s">
        <v>37</v>
      </c>
      <c r="GG24" t="s">
        <v>147</v>
      </c>
      <c r="GH24" t="s">
        <v>175</v>
      </c>
      <c r="GI24" t="s">
        <v>149</v>
      </c>
      <c r="GJ24" t="s">
        <v>170</v>
      </c>
      <c r="GK24" t="s">
        <v>176</v>
      </c>
      <c r="GL24" t="s">
        <v>177</v>
      </c>
      <c r="GM24" t="s">
        <v>178</v>
      </c>
      <c r="GN24" t="s">
        <v>179</v>
      </c>
      <c r="GO24" t="s">
        <v>180</v>
      </c>
    </row>
    <row r="25" spans="1:197" x14ac:dyDescent="0.25">
      <c r="A25" t="s">
        <v>160</v>
      </c>
      <c r="B25" t="s">
        <v>161</v>
      </c>
      <c r="C25" t="s">
        <v>162</v>
      </c>
      <c r="D25" t="s">
        <v>163</v>
      </c>
      <c r="E25" t="s">
        <v>140</v>
      </c>
      <c r="F25" t="s">
        <v>3</v>
      </c>
      <c r="G25" t="s">
        <v>164</v>
      </c>
      <c r="H25" t="s">
        <v>165</v>
      </c>
      <c r="I25" t="s">
        <v>166</v>
      </c>
      <c r="J25" t="s">
        <v>167</v>
      </c>
      <c r="K25" t="s">
        <v>159</v>
      </c>
      <c r="Y25" t="s">
        <v>300</v>
      </c>
      <c r="Z25" t="s">
        <v>26</v>
      </c>
      <c r="AA25" t="s">
        <v>301</v>
      </c>
      <c r="AB25" t="s">
        <v>3</v>
      </c>
      <c r="AC25" t="s">
        <v>302</v>
      </c>
      <c r="AD25" t="s">
        <v>303</v>
      </c>
      <c r="AE25" t="s">
        <v>27</v>
      </c>
      <c r="AF25" t="s">
        <v>55</v>
      </c>
      <c r="AG25" t="s">
        <v>304</v>
      </c>
      <c r="AH25" t="s">
        <v>305</v>
      </c>
      <c r="AI25" t="s">
        <v>306</v>
      </c>
      <c r="AM25" t="s">
        <v>380</v>
      </c>
      <c r="AN25" t="s">
        <v>26</v>
      </c>
      <c r="AO25" t="s">
        <v>127</v>
      </c>
      <c r="AP25" t="s">
        <v>130</v>
      </c>
      <c r="AQ25" t="s">
        <v>242</v>
      </c>
      <c r="AR25" t="s">
        <v>327</v>
      </c>
      <c r="AS25" t="s">
        <v>344</v>
      </c>
      <c r="AT25" t="s">
        <v>28</v>
      </c>
      <c r="AU25" t="s">
        <v>83</v>
      </c>
      <c r="AV25" t="s">
        <v>37</v>
      </c>
      <c r="AW25" t="s">
        <v>381</v>
      </c>
      <c r="BA25" t="s">
        <v>150</v>
      </c>
      <c r="BB25" t="s">
        <v>151</v>
      </c>
      <c r="BC25" t="s">
        <v>140</v>
      </c>
      <c r="BD25" t="s">
        <v>145</v>
      </c>
      <c r="BE25" t="s">
        <v>152</v>
      </c>
      <c r="BF25" t="s">
        <v>153</v>
      </c>
      <c r="BG25" t="s">
        <v>154</v>
      </c>
      <c r="BH25" t="s">
        <v>121</v>
      </c>
      <c r="BI25" t="s">
        <v>73</v>
      </c>
      <c r="BJ25" t="s">
        <v>24</v>
      </c>
      <c r="BK25" t="s">
        <v>155</v>
      </c>
      <c r="BO25" t="s">
        <v>110</v>
      </c>
      <c r="BP25" t="s">
        <v>8</v>
      </c>
      <c r="BQ25" t="s">
        <v>2</v>
      </c>
      <c r="BR25" t="s">
        <v>111</v>
      </c>
      <c r="BS25" t="s">
        <v>56</v>
      </c>
      <c r="BT25" t="s">
        <v>92</v>
      </c>
      <c r="BU25" t="s">
        <v>8</v>
      </c>
      <c r="BV25" t="s">
        <v>112</v>
      </c>
      <c r="BW25" t="s">
        <v>96</v>
      </c>
      <c r="BX25" t="s">
        <v>113</v>
      </c>
      <c r="BY25" t="s">
        <v>114</v>
      </c>
      <c r="CC25" t="s">
        <v>331</v>
      </c>
      <c r="CD25" t="s">
        <v>121</v>
      </c>
      <c r="CE25" t="s">
        <v>242</v>
      </c>
      <c r="CF25" t="s">
        <v>241</v>
      </c>
      <c r="CG25" t="s">
        <v>52</v>
      </c>
      <c r="CH25" t="s">
        <v>330</v>
      </c>
      <c r="CI25" t="s">
        <v>4</v>
      </c>
      <c r="CJ25" t="s">
        <v>26</v>
      </c>
      <c r="CK25" t="s">
        <v>245</v>
      </c>
      <c r="CL25" t="s">
        <v>28</v>
      </c>
      <c r="CM25" t="s">
        <v>277</v>
      </c>
      <c r="CQ25" t="s">
        <v>120</v>
      </c>
      <c r="CR25" t="s">
        <v>26</v>
      </c>
      <c r="CS25" t="s">
        <v>93</v>
      </c>
      <c r="CT25" t="s">
        <v>121</v>
      </c>
      <c r="CU25" t="s">
        <v>122</v>
      </c>
      <c r="CV25" t="s">
        <v>123</v>
      </c>
      <c r="CW25" t="s">
        <v>124</v>
      </c>
      <c r="CX25" t="s">
        <v>125</v>
      </c>
      <c r="CY25" t="s">
        <v>126</v>
      </c>
      <c r="CZ25" t="s">
        <v>127</v>
      </c>
      <c r="DA25" t="s">
        <v>128</v>
      </c>
      <c r="DR25" t="s">
        <v>144</v>
      </c>
      <c r="DS25" t="s">
        <v>145</v>
      </c>
      <c r="DT25" t="s">
        <v>37</v>
      </c>
      <c r="DU25" t="s">
        <v>37</v>
      </c>
      <c r="DV25" t="s">
        <v>125</v>
      </c>
      <c r="DW25" t="s">
        <v>140</v>
      </c>
      <c r="DX25" t="s">
        <v>146</v>
      </c>
      <c r="DY25" t="s">
        <v>4</v>
      </c>
      <c r="DZ25" t="s">
        <v>147</v>
      </c>
      <c r="EA25" t="s">
        <v>148</v>
      </c>
      <c r="EB25" t="s">
        <v>149</v>
      </c>
      <c r="EE25" t="s">
        <v>160</v>
      </c>
      <c r="EF25" t="s">
        <v>161</v>
      </c>
      <c r="EG25" t="s">
        <v>162</v>
      </c>
      <c r="EH25" t="s">
        <v>163</v>
      </c>
      <c r="EI25" t="s">
        <v>140</v>
      </c>
      <c r="EJ25" t="s">
        <v>3</v>
      </c>
      <c r="EK25" t="s">
        <v>164</v>
      </c>
      <c r="EL25" t="s">
        <v>165</v>
      </c>
      <c r="EM25" t="s">
        <v>166</v>
      </c>
      <c r="EN25" t="s">
        <v>167</v>
      </c>
      <c r="EO25" t="s">
        <v>159</v>
      </c>
      <c r="ER25" t="s">
        <v>189</v>
      </c>
      <c r="ES25" t="s">
        <v>190</v>
      </c>
      <c r="ET25" t="s">
        <v>191</v>
      </c>
      <c r="EU25" t="s">
        <v>187</v>
      </c>
      <c r="EV25" t="s">
        <v>192</v>
      </c>
      <c r="EW25" t="s">
        <v>193</v>
      </c>
      <c r="EX25" t="s">
        <v>31</v>
      </c>
      <c r="EY25" t="s">
        <v>183</v>
      </c>
      <c r="EZ25" t="s">
        <v>36</v>
      </c>
      <c r="FA25" t="s">
        <v>117</v>
      </c>
      <c r="FB25" t="s">
        <v>194</v>
      </c>
      <c r="FE25" t="s">
        <v>174</v>
      </c>
      <c r="FF25" t="s">
        <v>37</v>
      </c>
      <c r="FG25" t="s">
        <v>147</v>
      </c>
      <c r="FH25" t="s">
        <v>175</v>
      </c>
      <c r="FI25" t="s">
        <v>149</v>
      </c>
      <c r="FJ25" t="s">
        <v>170</v>
      </c>
      <c r="FK25" t="s">
        <v>176</v>
      </c>
      <c r="FL25" t="s">
        <v>177</v>
      </c>
      <c r="FM25" t="s">
        <v>178</v>
      </c>
      <c r="FN25" t="s">
        <v>179</v>
      </c>
      <c r="FO25" t="s">
        <v>180</v>
      </c>
      <c r="FR25" t="s">
        <v>189</v>
      </c>
      <c r="FS25" t="s">
        <v>190</v>
      </c>
      <c r="FT25" t="s">
        <v>191</v>
      </c>
      <c r="FU25" t="s">
        <v>187</v>
      </c>
      <c r="FV25" t="s">
        <v>192</v>
      </c>
      <c r="FW25" t="s">
        <v>193</v>
      </c>
      <c r="FX25" t="s">
        <v>31</v>
      </c>
      <c r="FY25" t="s">
        <v>183</v>
      </c>
      <c r="FZ25" t="s">
        <v>36</v>
      </c>
      <c r="GA25" t="s">
        <v>117</v>
      </c>
      <c r="GB25" t="s">
        <v>194</v>
      </c>
      <c r="GE25" t="s">
        <v>189</v>
      </c>
      <c r="GF25" t="s">
        <v>190</v>
      </c>
      <c r="GG25" t="s">
        <v>191</v>
      </c>
      <c r="GH25" t="s">
        <v>187</v>
      </c>
      <c r="GI25" t="s">
        <v>192</v>
      </c>
      <c r="GJ25" t="s">
        <v>193</v>
      </c>
      <c r="GK25" t="s">
        <v>31</v>
      </c>
      <c r="GL25" t="s">
        <v>183</v>
      </c>
      <c r="GM25" t="s">
        <v>36</v>
      </c>
      <c r="GN25" t="s">
        <v>117</v>
      </c>
      <c r="GO25" t="s">
        <v>194</v>
      </c>
    </row>
    <row r="26" spans="1:197" x14ac:dyDescent="0.25">
      <c r="A26" t="s">
        <v>168</v>
      </c>
      <c r="B26" t="s">
        <v>169</v>
      </c>
      <c r="C26" t="s">
        <v>161</v>
      </c>
      <c r="D26" t="s">
        <v>146</v>
      </c>
      <c r="E26" t="s">
        <v>170</v>
      </c>
      <c r="F26" t="s">
        <v>171</v>
      </c>
      <c r="G26" t="s">
        <v>172</v>
      </c>
      <c r="H26" t="s">
        <v>162</v>
      </c>
      <c r="I26" t="s">
        <v>159</v>
      </c>
      <c r="J26" t="s">
        <v>4</v>
      </c>
      <c r="K26" t="s">
        <v>173</v>
      </c>
      <c r="Y26" t="s">
        <v>307</v>
      </c>
      <c r="Z26" t="s">
        <v>301</v>
      </c>
      <c r="AA26" t="s">
        <v>26</v>
      </c>
      <c r="AB26" t="s">
        <v>127</v>
      </c>
      <c r="AC26" t="s">
        <v>6</v>
      </c>
      <c r="AD26" t="s">
        <v>139</v>
      </c>
      <c r="AE26" t="s">
        <v>308</v>
      </c>
      <c r="AF26" t="s">
        <v>51</v>
      </c>
      <c r="AG26" t="s">
        <v>62</v>
      </c>
      <c r="AH26" t="s">
        <v>309</v>
      </c>
      <c r="AI26" t="s">
        <v>46</v>
      </c>
      <c r="AM26" t="s">
        <v>387</v>
      </c>
      <c r="AN26" t="s">
        <v>388</v>
      </c>
      <c r="AO26" t="s">
        <v>132</v>
      </c>
      <c r="AP26" t="s">
        <v>188</v>
      </c>
      <c r="AQ26" t="s">
        <v>139</v>
      </c>
      <c r="AR26" t="s">
        <v>26</v>
      </c>
      <c r="AS26" t="s">
        <v>389</v>
      </c>
      <c r="AT26" t="s">
        <v>62</v>
      </c>
      <c r="AU26" t="s">
        <v>182</v>
      </c>
      <c r="AV26" t="s">
        <v>25</v>
      </c>
      <c r="AW26" t="s">
        <v>390</v>
      </c>
      <c r="BA26" t="s">
        <v>156</v>
      </c>
      <c r="BB26" t="s">
        <v>145</v>
      </c>
      <c r="BC26" t="s">
        <v>21</v>
      </c>
      <c r="BD26" t="s">
        <v>157</v>
      </c>
      <c r="BE26" t="s">
        <v>24</v>
      </c>
      <c r="BF26" t="s">
        <v>39</v>
      </c>
      <c r="BG26" t="s">
        <v>158</v>
      </c>
      <c r="BH26" t="s">
        <v>139</v>
      </c>
      <c r="BI26" t="s">
        <v>96</v>
      </c>
      <c r="BJ26" t="s">
        <v>151</v>
      </c>
      <c r="BK26" t="s">
        <v>159</v>
      </c>
      <c r="BO26" t="s">
        <v>144</v>
      </c>
      <c r="BP26" t="s">
        <v>145</v>
      </c>
      <c r="BQ26" t="s">
        <v>37</v>
      </c>
      <c r="BR26" t="s">
        <v>37</v>
      </c>
      <c r="BS26" t="s">
        <v>125</v>
      </c>
      <c r="BT26" t="s">
        <v>140</v>
      </c>
      <c r="BU26" t="s">
        <v>146</v>
      </c>
      <c r="BV26" t="s">
        <v>4</v>
      </c>
      <c r="BW26" t="s">
        <v>147</v>
      </c>
      <c r="BX26" t="s">
        <v>148</v>
      </c>
      <c r="BY26" t="s">
        <v>149</v>
      </c>
      <c r="CC26" t="s">
        <v>367</v>
      </c>
      <c r="CD26" t="s">
        <v>132</v>
      </c>
      <c r="CE26" t="s">
        <v>368</v>
      </c>
      <c r="CF26" t="s">
        <v>96</v>
      </c>
      <c r="CG26" t="s">
        <v>130</v>
      </c>
      <c r="CH26" t="s">
        <v>369</v>
      </c>
      <c r="CI26" t="s">
        <v>26</v>
      </c>
      <c r="CJ26" t="s">
        <v>369</v>
      </c>
      <c r="CK26" t="s">
        <v>121</v>
      </c>
      <c r="CL26" t="s">
        <v>368</v>
      </c>
      <c r="CM26" t="s">
        <v>370</v>
      </c>
      <c r="CQ26" t="s">
        <v>244</v>
      </c>
      <c r="CR26" t="s">
        <v>26</v>
      </c>
      <c r="CS26" t="s">
        <v>130</v>
      </c>
      <c r="CT26" t="s">
        <v>52</v>
      </c>
      <c r="CU26" t="s">
        <v>127</v>
      </c>
      <c r="CV26" t="s">
        <v>207</v>
      </c>
      <c r="CW26" t="s">
        <v>245</v>
      </c>
      <c r="CX26" t="s">
        <v>96</v>
      </c>
      <c r="CY26" t="s">
        <v>132</v>
      </c>
      <c r="CZ26" t="s">
        <v>184</v>
      </c>
      <c r="DA26" t="s">
        <v>121</v>
      </c>
      <c r="DD26" t="s">
        <v>504</v>
      </c>
      <c r="DE26" t="s">
        <v>481</v>
      </c>
      <c r="DR26" t="s">
        <v>160</v>
      </c>
      <c r="DS26" t="s">
        <v>161</v>
      </c>
      <c r="DT26" t="s">
        <v>162</v>
      </c>
      <c r="DU26" t="s">
        <v>163</v>
      </c>
      <c r="DV26" t="s">
        <v>140</v>
      </c>
      <c r="DW26" t="s">
        <v>3</v>
      </c>
      <c r="DX26" t="s">
        <v>164</v>
      </c>
      <c r="DY26" t="s">
        <v>165</v>
      </c>
      <c r="DZ26" t="s">
        <v>166</v>
      </c>
      <c r="EA26" t="s">
        <v>167</v>
      </c>
      <c r="EB26" t="s">
        <v>159</v>
      </c>
      <c r="EE26" t="s">
        <v>168</v>
      </c>
      <c r="EF26" t="s">
        <v>169</v>
      </c>
      <c r="EG26" t="s">
        <v>161</v>
      </c>
      <c r="EH26" t="s">
        <v>146</v>
      </c>
      <c r="EI26" t="s">
        <v>170</v>
      </c>
      <c r="EJ26" t="s">
        <v>171</v>
      </c>
      <c r="EK26" t="s">
        <v>172</v>
      </c>
      <c r="EL26" t="s">
        <v>162</v>
      </c>
      <c r="EM26" t="s">
        <v>159</v>
      </c>
      <c r="EN26" t="s">
        <v>4</v>
      </c>
      <c r="EO26" t="s">
        <v>173</v>
      </c>
      <c r="ER26" t="s">
        <v>195</v>
      </c>
      <c r="ES26" t="s">
        <v>196</v>
      </c>
      <c r="ET26" t="s">
        <v>197</v>
      </c>
      <c r="EU26" t="s">
        <v>187</v>
      </c>
      <c r="EV26" t="s">
        <v>173</v>
      </c>
      <c r="EW26" t="s">
        <v>198</v>
      </c>
      <c r="EX26" t="s">
        <v>167</v>
      </c>
      <c r="EY26" t="s">
        <v>64</v>
      </c>
      <c r="EZ26" t="s">
        <v>199</v>
      </c>
      <c r="FA26" t="s">
        <v>200</v>
      </c>
      <c r="FB26" t="s">
        <v>201</v>
      </c>
      <c r="FE26" t="s">
        <v>189</v>
      </c>
      <c r="FF26" t="s">
        <v>190</v>
      </c>
      <c r="FG26" t="s">
        <v>191</v>
      </c>
      <c r="FH26" t="s">
        <v>187</v>
      </c>
      <c r="FI26" t="s">
        <v>192</v>
      </c>
      <c r="FJ26" t="s">
        <v>193</v>
      </c>
      <c r="FK26" t="s">
        <v>31</v>
      </c>
      <c r="FL26" t="s">
        <v>183</v>
      </c>
      <c r="FM26" t="s">
        <v>36</v>
      </c>
      <c r="FN26" t="s">
        <v>117</v>
      </c>
      <c r="FO26" t="s">
        <v>194</v>
      </c>
      <c r="FR26" t="s">
        <v>195</v>
      </c>
      <c r="FS26" t="s">
        <v>196</v>
      </c>
      <c r="FT26" t="s">
        <v>197</v>
      </c>
      <c r="FU26" t="s">
        <v>187</v>
      </c>
      <c r="FV26" t="s">
        <v>173</v>
      </c>
      <c r="FW26" t="s">
        <v>198</v>
      </c>
      <c r="FX26" t="s">
        <v>167</v>
      </c>
      <c r="FY26" t="s">
        <v>64</v>
      </c>
      <c r="FZ26" t="s">
        <v>199</v>
      </c>
      <c r="GA26" t="s">
        <v>200</v>
      </c>
      <c r="GB26" t="s">
        <v>201</v>
      </c>
      <c r="GE26" t="s">
        <v>195</v>
      </c>
      <c r="GF26" t="s">
        <v>196</v>
      </c>
      <c r="GG26" t="s">
        <v>197</v>
      </c>
      <c r="GH26" t="s">
        <v>187</v>
      </c>
      <c r="GI26" t="s">
        <v>173</v>
      </c>
      <c r="GJ26" t="s">
        <v>198</v>
      </c>
      <c r="GK26" t="s">
        <v>167</v>
      </c>
      <c r="GL26" t="s">
        <v>64</v>
      </c>
      <c r="GM26" t="s">
        <v>199</v>
      </c>
      <c r="GN26" t="s">
        <v>200</v>
      </c>
      <c r="GO26" t="s">
        <v>201</v>
      </c>
    </row>
    <row r="27" spans="1:197" x14ac:dyDescent="0.25">
      <c r="A27" t="s">
        <v>174</v>
      </c>
      <c r="B27" t="s">
        <v>37</v>
      </c>
      <c r="C27" t="s">
        <v>147</v>
      </c>
      <c r="D27" t="s">
        <v>175</v>
      </c>
      <c r="E27" t="s">
        <v>149</v>
      </c>
      <c r="F27" t="s">
        <v>170</v>
      </c>
      <c r="G27" t="s">
        <v>176</v>
      </c>
      <c r="H27" t="s">
        <v>177</v>
      </c>
      <c r="I27" t="s">
        <v>178</v>
      </c>
      <c r="J27" t="s">
        <v>179</v>
      </c>
      <c r="K27" t="s">
        <v>180</v>
      </c>
      <c r="Y27" t="s">
        <v>317</v>
      </c>
      <c r="Z27" t="s">
        <v>318</v>
      </c>
      <c r="AA27" t="s">
        <v>319</v>
      </c>
      <c r="AB27" t="s">
        <v>282</v>
      </c>
      <c r="AC27" t="s">
        <v>320</v>
      </c>
      <c r="AD27" t="s">
        <v>279</v>
      </c>
      <c r="AE27" t="s">
        <v>242</v>
      </c>
      <c r="AF27" t="s">
        <v>26</v>
      </c>
      <c r="AG27" t="s">
        <v>27</v>
      </c>
      <c r="AH27" t="s">
        <v>49</v>
      </c>
      <c r="AI27" t="s">
        <v>105</v>
      </c>
      <c r="BA27" t="s">
        <v>160</v>
      </c>
      <c r="BB27" t="s">
        <v>161</v>
      </c>
      <c r="BC27" t="s">
        <v>162</v>
      </c>
      <c r="BD27" t="s">
        <v>163</v>
      </c>
      <c r="BE27" t="s">
        <v>140</v>
      </c>
      <c r="BF27" t="s">
        <v>3</v>
      </c>
      <c r="BG27" t="s">
        <v>164</v>
      </c>
      <c r="BH27" t="s">
        <v>165</v>
      </c>
      <c r="BI27" t="s">
        <v>166</v>
      </c>
      <c r="BJ27" t="s">
        <v>167</v>
      </c>
      <c r="BK27" t="s">
        <v>159</v>
      </c>
      <c r="BO27" t="s">
        <v>156</v>
      </c>
      <c r="BP27" t="s">
        <v>145</v>
      </c>
      <c r="BQ27" t="s">
        <v>21</v>
      </c>
      <c r="BR27" t="s">
        <v>157</v>
      </c>
      <c r="BS27" t="s">
        <v>24</v>
      </c>
      <c r="BT27" t="s">
        <v>39</v>
      </c>
      <c r="BU27" t="s">
        <v>158</v>
      </c>
      <c r="BV27" t="s">
        <v>139</v>
      </c>
      <c r="BW27" t="s">
        <v>96</v>
      </c>
      <c r="BX27" t="s">
        <v>151</v>
      </c>
      <c r="BY27" t="s">
        <v>159</v>
      </c>
      <c r="CQ27" t="s">
        <v>331</v>
      </c>
      <c r="CR27" t="s">
        <v>121</v>
      </c>
      <c r="CS27" t="s">
        <v>242</v>
      </c>
      <c r="CT27" t="s">
        <v>241</v>
      </c>
      <c r="CU27" t="s">
        <v>52</v>
      </c>
      <c r="CV27" t="s">
        <v>330</v>
      </c>
      <c r="CW27" t="s">
        <v>4</v>
      </c>
      <c r="CX27" t="s">
        <v>26</v>
      </c>
      <c r="CY27" t="s">
        <v>245</v>
      </c>
      <c r="CZ27" t="s">
        <v>28</v>
      </c>
      <c r="DA27" t="s">
        <v>277</v>
      </c>
      <c r="DD27">
        <f>5/8*100</f>
        <v>62.5</v>
      </c>
      <c r="DE27" t="s">
        <v>120</v>
      </c>
      <c r="DF27" t="s">
        <v>26</v>
      </c>
      <c r="DG27" t="s">
        <v>93</v>
      </c>
      <c r="DH27" t="s">
        <v>121</v>
      </c>
      <c r="DI27" t="s">
        <v>122</v>
      </c>
      <c r="DJ27" t="s">
        <v>123</v>
      </c>
      <c r="DK27" t="s">
        <v>124</v>
      </c>
      <c r="DL27" t="s">
        <v>125</v>
      </c>
      <c r="DM27" t="s">
        <v>126</v>
      </c>
      <c r="DN27" t="s">
        <v>127</v>
      </c>
      <c r="DO27" t="s">
        <v>128</v>
      </c>
      <c r="DR27" t="s">
        <v>168</v>
      </c>
      <c r="DS27" t="s">
        <v>169</v>
      </c>
      <c r="DT27" t="s">
        <v>161</v>
      </c>
      <c r="DU27" t="s">
        <v>146</v>
      </c>
      <c r="DV27" t="s">
        <v>170</v>
      </c>
      <c r="DW27" t="s">
        <v>171</v>
      </c>
      <c r="DX27" t="s">
        <v>172</v>
      </c>
      <c r="DY27" t="s">
        <v>162</v>
      </c>
      <c r="DZ27" t="s">
        <v>159</v>
      </c>
      <c r="EA27" t="s">
        <v>4</v>
      </c>
      <c r="EB27" t="s">
        <v>173</v>
      </c>
      <c r="EE27" t="s">
        <v>174</v>
      </c>
      <c r="EF27" t="s">
        <v>37</v>
      </c>
      <c r="EG27" t="s">
        <v>147</v>
      </c>
      <c r="EH27" t="s">
        <v>175</v>
      </c>
      <c r="EI27" t="s">
        <v>149</v>
      </c>
      <c r="EJ27" t="s">
        <v>170</v>
      </c>
      <c r="EK27" t="s">
        <v>176</v>
      </c>
      <c r="EL27" t="s">
        <v>177</v>
      </c>
      <c r="EM27" t="s">
        <v>178</v>
      </c>
      <c r="EN27" t="s">
        <v>179</v>
      </c>
      <c r="EO27" t="s">
        <v>180</v>
      </c>
      <c r="ER27" t="s">
        <v>391</v>
      </c>
      <c r="ES27" t="s">
        <v>211</v>
      </c>
      <c r="ET27" t="s">
        <v>210</v>
      </c>
      <c r="EU27" t="s">
        <v>207</v>
      </c>
      <c r="EV27" t="s">
        <v>212</v>
      </c>
      <c r="EW27" t="s">
        <v>142</v>
      </c>
      <c r="EX27" t="s">
        <v>213</v>
      </c>
      <c r="EY27" t="s">
        <v>214</v>
      </c>
      <c r="EZ27" t="s">
        <v>215</v>
      </c>
      <c r="FA27" t="s">
        <v>216</v>
      </c>
      <c r="FB27" t="s">
        <v>217</v>
      </c>
      <c r="FE27" t="s">
        <v>195</v>
      </c>
      <c r="FF27" t="s">
        <v>196</v>
      </c>
      <c r="FG27" t="s">
        <v>197</v>
      </c>
      <c r="FH27" t="s">
        <v>187</v>
      </c>
      <c r="FI27" t="s">
        <v>173</v>
      </c>
      <c r="FJ27" t="s">
        <v>198</v>
      </c>
      <c r="FK27" t="s">
        <v>167</v>
      </c>
      <c r="FL27" t="s">
        <v>64</v>
      </c>
      <c r="FM27" t="s">
        <v>199</v>
      </c>
      <c r="FN27" t="s">
        <v>200</v>
      </c>
      <c r="FO27" t="s">
        <v>201</v>
      </c>
      <c r="FR27" t="s">
        <v>391</v>
      </c>
      <c r="FS27" t="s">
        <v>211</v>
      </c>
      <c r="FT27" t="s">
        <v>210</v>
      </c>
      <c r="FU27" t="s">
        <v>207</v>
      </c>
      <c r="FV27" t="s">
        <v>212</v>
      </c>
      <c r="FW27" t="s">
        <v>142</v>
      </c>
      <c r="FX27" t="s">
        <v>213</v>
      </c>
      <c r="FY27" t="s">
        <v>214</v>
      </c>
      <c r="FZ27" t="s">
        <v>215</v>
      </c>
      <c r="GA27" t="s">
        <v>216</v>
      </c>
      <c r="GB27" t="s">
        <v>217</v>
      </c>
      <c r="GE27" t="s">
        <v>391</v>
      </c>
      <c r="GF27" t="s">
        <v>211</v>
      </c>
      <c r="GG27" t="s">
        <v>210</v>
      </c>
      <c r="GH27" t="s">
        <v>207</v>
      </c>
      <c r="GI27" t="s">
        <v>212</v>
      </c>
      <c r="GJ27" t="s">
        <v>142</v>
      </c>
      <c r="GK27" t="s">
        <v>213</v>
      </c>
      <c r="GL27" t="s">
        <v>214</v>
      </c>
      <c r="GM27" t="s">
        <v>215</v>
      </c>
      <c r="GN27" t="s">
        <v>216</v>
      </c>
      <c r="GO27" t="s">
        <v>217</v>
      </c>
    </row>
    <row r="28" spans="1:197" x14ac:dyDescent="0.25">
      <c r="A28" t="s">
        <v>181</v>
      </c>
      <c r="B28" t="s">
        <v>37</v>
      </c>
      <c r="C28" t="s">
        <v>8</v>
      </c>
      <c r="D28" t="s">
        <v>182</v>
      </c>
      <c r="E28" t="s">
        <v>183</v>
      </c>
      <c r="F28" t="s">
        <v>184</v>
      </c>
      <c r="G28" t="s">
        <v>185</v>
      </c>
      <c r="H28" t="s">
        <v>139</v>
      </c>
      <c r="I28" t="s">
        <v>27</v>
      </c>
      <c r="J28" t="s">
        <v>26</v>
      </c>
      <c r="K28" t="s">
        <v>24</v>
      </c>
      <c r="Y28" t="s">
        <v>321</v>
      </c>
      <c r="Z28" t="s">
        <v>204</v>
      </c>
      <c r="AA28" t="s">
        <v>199</v>
      </c>
      <c r="AB28" t="s">
        <v>26</v>
      </c>
      <c r="AC28" t="s">
        <v>139</v>
      </c>
      <c r="AD28" t="s">
        <v>48</v>
      </c>
      <c r="AE28" t="s">
        <v>148</v>
      </c>
      <c r="AF28" t="s">
        <v>52</v>
      </c>
      <c r="AG28" t="s">
        <v>322</v>
      </c>
      <c r="AH28" t="s">
        <v>91</v>
      </c>
      <c r="AI28" t="s">
        <v>4</v>
      </c>
      <c r="AM28" t="s">
        <v>417</v>
      </c>
      <c r="BA28" t="s">
        <v>168</v>
      </c>
      <c r="BB28" t="s">
        <v>169</v>
      </c>
      <c r="BC28" t="s">
        <v>161</v>
      </c>
      <c r="BD28" t="s">
        <v>146</v>
      </c>
      <c r="BE28" t="s">
        <v>170</v>
      </c>
      <c r="BF28" t="s">
        <v>171</v>
      </c>
      <c r="BG28" t="s">
        <v>172</v>
      </c>
      <c r="BH28" t="s">
        <v>162</v>
      </c>
      <c r="BI28" t="s">
        <v>159</v>
      </c>
      <c r="BJ28" t="s">
        <v>4</v>
      </c>
      <c r="BK28" t="s">
        <v>173</v>
      </c>
      <c r="BO28" t="s">
        <v>160</v>
      </c>
      <c r="BP28" t="s">
        <v>161</v>
      </c>
      <c r="BQ28" t="s">
        <v>162</v>
      </c>
      <c r="BR28" t="s">
        <v>163</v>
      </c>
      <c r="BS28" t="s">
        <v>140</v>
      </c>
      <c r="BT28" t="s">
        <v>3</v>
      </c>
      <c r="BU28" t="s">
        <v>164</v>
      </c>
      <c r="BV28" t="s">
        <v>165</v>
      </c>
      <c r="BW28" t="s">
        <v>166</v>
      </c>
      <c r="BX28" t="s">
        <v>167</v>
      </c>
      <c r="BY28" t="s">
        <v>159</v>
      </c>
      <c r="CC28" t="s">
        <v>439</v>
      </c>
      <c r="CQ28" t="s">
        <v>367</v>
      </c>
      <c r="CR28" t="s">
        <v>132</v>
      </c>
      <c r="CS28" t="s">
        <v>368</v>
      </c>
      <c r="CT28" t="s">
        <v>96</v>
      </c>
      <c r="CU28" t="s">
        <v>130</v>
      </c>
      <c r="CV28" t="s">
        <v>369</v>
      </c>
      <c r="CW28" t="s">
        <v>26</v>
      </c>
      <c r="CX28" t="s">
        <v>369</v>
      </c>
      <c r="CY28" t="s">
        <v>121</v>
      </c>
      <c r="CZ28" t="s">
        <v>368</v>
      </c>
      <c r="DA28" t="s">
        <v>370</v>
      </c>
      <c r="DE28" t="s">
        <v>244</v>
      </c>
      <c r="DF28" t="s">
        <v>26</v>
      </c>
      <c r="DG28" t="s">
        <v>130</v>
      </c>
      <c r="DH28" t="s">
        <v>52</v>
      </c>
      <c r="DI28" t="s">
        <v>127</v>
      </c>
      <c r="DJ28" t="s">
        <v>207</v>
      </c>
      <c r="DK28" t="s">
        <v>245</v>
      </c>
      <c r="DL28" t="s">
        <v>96</v>
      </c>
      <c r="DM28" t="s">
        <v>132</v>
      </c>
      <c r="DN28" t="s">
        <v>184</v>
      </c>
      <c r="DO28" t="s">
        <v>121</v>
      </c>
      <c r="DR28" t="s">
        <v>174</v>
      </c>
      <c r="DS28" t="s">
        <v>37</v>
      </c>
      <c r="DT28" t="s">
        <v>147</v>
      </c>
      <c r="DU28" t="s">
        <v>175</v>
      </c>
      <c r="DV28" t="s">
        <v>149</v>
      </c>
      <c r="DW28" t="s">
        <v>170</v>
      </c>
      <c r="DX28" t="s">
        <v>176</v>
      </c>
      <c r="DY28" t="s">
        <v>177</v>
      </c>
      <c r="DZ28" t="s">
        <v>178</v>
      </c>
      <c r="EA28" t="s">
        <v>179</v>
      </c>
      <c r="EB28" t="s">
        <v>180</v>
      </c>
      <c r="EE28" t="s">
        <v>189</v>
      </c>
      <c r="EF28" t="s">
        <v>190</v>
      </c>
      <c r="EG28" t="s">
        <v>191</v>
      </c>
      <c r="EH28" t="s">
        <v>187</v>
      </c>
      <c r="EI28" t="s">
        <v>192</v>
      </c>
      <c r="EJ28" t="s">
        <v>193</v>
      </c>
      <c r="EK28" t="s">
        <v>31</v>
      </c>
      <c r="EL28" t="s">
        <v>183</v>
      </c>
      <c r="EM28" t="s">
        <v>36</v>
      </c>
      <c r="EN28" t="s">
        <v>117</v>
      </c>
      <c r="EO28" t="s">
        <v>194</v>
      </c>
      <c r="ER28" t="s">
        <v>246</v>
      </c>
      <c r="ES28" t="s">
        <v>4</v>
      </c>
      <c r="ET28" t="s">
        <v>37</v>
      </c>
      <c r="EU28" t="s">
        <v>179</v>
      </c>
      <c r="EV28" t="s">
        <v>247</v>
      </c>
      <c r="EW28" t="s">
        <v>105</v>
      </c>
      <c r="EX28" t="s">
        <v>126</v>
      </c>
      <c r="EY28" t="s">
        <v>149</v>
      </c>
      <c r="EZ28" t="s">
        <v>109</v>
      </c>
      <c r="FA28" t="s">
        <v>170</v>
      </c>
      <c r="FB28" t="s">
        <v>47</v>
      </c>
      <c r="FE28" t="s">
        <v>391</v>
      </c>
      <c r="FF28" t="s">
        <v>211</v>
      </c>
      <c r="FG28" t="s">
        <v>210</v>
      </c>
      <c r="FH28" t="s">
        <v>207</v>
      </c>
      <c r="FI28" t="s">
        <v>212</v>
      </c>
      <c r="FJ28" t="s">
        <v>142</v>
      </c>
      <c r="FK28" t="s">
        <v>213</v>
      </c>
      <c r="FL28" t="s">
        <v>214</v>
      </c>
      <c r="FM28" t="s">
        <v>215</v>
      </c>
      <c r="FN28" t="s">
        <v>216</v>
      </c>
      <c r="FO28" t="s">
        <v>217</v>
      </c>
      <c r="FR28" t="s">
        <v>246</v>
      </c>
      <c r="FS28" t="s">
        <v>4</v>
      </c>
      <c r="FT28" t="s">
        <v>37</v>
      </c>
      <c r="FU28" t="s">
        <v>179</v>
      </c>
      <c r="FV28" t="s">
        <v>247</v>
      </c>
      <c r="FW28" t="s">
        <v>105</v>
      </c>
      <c r="FX28" t="s">
        <v>126</v>
      </c>
      <c r="FY28" t="s">
        <v>149</v>
      </c>
      <c r="FZ28" t="s">
        <v>109</v>
      </c>
      <c r="GA28" t="s">
        <v>170</v>
      </c>
      <c r="GB28" t="s">
        <v>47</v>
      </c>
      <c r="GE28" t="s">
        <v>246</v>
      </c>
      <c r="GF28" t="s">
        <v>4</v>
      </c>
      <c r="GG28" t="s">
        <v>37</v>
      </c>
      <c r="GH28" t="s">
        <v>179</v>
      </c>
      <c r="GI28" t="s">
        <v>247</v>
      </c>
      <c r="GJ28" t="s">
        <v>105</v>
      </c>
      <c r="GK28" t="s">
        <v>126</v>
      </c>
      <c r="GL28" t="s">
        <v>149</v>
      </c>
      <c r="GM28" t="s">
        <v>109</v>
      </c>
      <c r="GN28" t="s">
        <v>170</v>
      </c>
      <c r="GO28" t="s">
        <v>47</v>
      </c>
    </row>
    <row r="29" spans="1:197" x14ac:dyDescent="0.25">
      <c r="A29" t="s">
        <v>186</v>
      </c>
      <c r="B29" t="s">
        <v>183</v>
      </c>
      <c r="C29" t="s">
        <v>187</v>
      </c>
      <c r="D29" t="s">
        <v>182</v>
      </c>
      <c r="E29" t="s">
        <v>81</v>
      </c>
      <c r="F29" t="s">
        <v>24</v>
      </c>
      <c r="G29" t="s">
        <v>27</v>
      </c>
      <c r="H29" t="s">
        <v>163</v>
      </c>
      <c r="I29" t="s">
        <v>36</v>
      </c>
      <c r="J29" t="s">
        <v>188</v>
      </c>
      <c r="K29" t="s">
        <v>21</v>
      </c>
      <c r="Y29" t="s">
        <v>323</v>
      </c>
      <c r="Z29" t="s">
        <v>318</v>
      </c>
      <c r="AA29" t="s">
        <v>26</v>
      </c>
      <c r="AB29" t="s">
        <v>324</v>
      </c>
      <c r="AC29" t="s">
        <v>282</v>
      </c>
      <c r="AD29" t="s">
        <v>4</v>
      </c>
      <c r="AE29" t="s">
        <v>325</v>
      </c>
      <c r="AF29" t="s">
        <v>326</v>
      </c>
      <c r="AG29" t="s">
        <v>324</v>
      </c>
      <c r="AH29" t="s">
        <v>241</v>
      </c>
      <c r="AI29" t="s">
        <v>327</v>
      </c>
      <c r="AM29" t="s">
        <v>0</v>
      </c>
      <c r="AN29" t="s">
        <v>1</v>
      </c>
      <c r="AO29" t="s">
        <v>2</v>
      </c>
      <c r="AP29" t="s">
        <v>3</v>
      </c>
      <c r="AQ29" t="s">
        <v>4</v>
      </c>
      <c r="AR29" t="s">
        <v>5</v>
      </c>
      <c r="AS29" t="s">
        <v>6</v>
      </c>
      <c r="AT29" t="s">
        <v>7</v>
      </c>
      <c r="AU29" t="s">
        <v>8</v>
      </c>
      <c r="AV29" t="s">
        <v>9</v>
      </c>
      <c r="AW29" t="s">
        <v>10</v>
      </c>
      <c r="BA29" t="s">
        <v>174</v>
      </c>
      <c r="BB29" t="s">
        <v>37</v>
      </c>
      <c r="BC29" t="s">
        <v>147</v>
      </c>
      <c r="BD29" t="s">
        <v>175</v>
      </c>
      <c r="BE29" t="s">
        <v>149</v>
      </c>
      <c r="BF29" t="s">
        <v>170</v>
      </c>
      <c r="BG29" t="s">
        <v>176</v>
      </c>
      <c r="BH29" t="s">
        <v>177</v>
      </c>
      <c r="BI29" t="s">
        <v>178</v>
      </c>
      <c r="BJ29" t="s">
        <v>179</v>
      </c>
      <c r="BK29" t="s">
        <v>180</v>
      </c>
      <c r="BO29" t="s">
        <v>168</v>
      </c>
      <c r="BP29" t="s">
        <v>169</v>
      </c>
      <c r="BQ29" t="s">
        <v>161</v>
      </c>
      <c r="BR29" t="s">
        <v>146</v>
      </c>
      <c r="BS29" t="s">
        <v>170</v>
      </c>
      <c r="BT29" t="s">
        <v>171</v>
      </c>
      <c r="BU29" t="s">
        <v>172</v>
      </c>
      <c r="BV29" t="s">
        <v>162</v>
      </c>
      <c r="BW29" t="s">
        <v>159</v>
      </c>
      <c r="BX29" t="s">
        <v>4</v>
      </c>
      <c r="BY29" t="s">
        <v>173</v>
      </c>
      <c r="CC29" t="s">
        <v>11</v>
      </c>
      <c r="CD29" t="s">
        <v>12</v>
      </c>
      <c r="CE29" t="s">
        <v>13</v>
      </c>
      <c r="CF29" t="s">
        <v>14</v>
      </c>
      <c r="CG29" t="s">
        <v>15</v>
      </c>
      <c r="CH29" t="s">
        <v>16</v>
      </c>
      <c r="CI29" t="s">
        <v>17</v>
      </c>
      <c r="CJ29" t="s">
        <v>18</v>
      </c>
      <c r="CK29" t="s">
        <v>19</v>
      </c>
      <c r="CL29" t="s">
        <v>20</v>
      </c>
      <c r="CM29" t="s">
        <v>21</v>
      </c>
      <c r="DE29" t="s">
        <v>331</v>
      </c>
      <c r="DF29" t="s">
        <v>121</v>
      </c>
      <c r="DG29" t="s">
        <v>242</v>
      </c>
      <c r="DH29" t="s">
        <v>241</v>
      </c>
      <c r="DI29" t="s">
        <v>52</v>
      </c>
      <c r="DJ29" t="s">
        <v>330</v>
      </c>
      <c r="DK29" t="s">
        <v>4</v>
      </c>
      <c r="DL29" t="s">
        <v>26</v>
      </c>
      <c r="DM29" t="s">
        <v>245</v>
      </c>
      <c r="DN29" t="s">
        <v>28</v>
      </c>
      <c r="DO29" t="s">
        <v>277</v>
      </c>
      <c r="DR29" t="s">
        <v>189</v>
      </c>
      <c r="DS29" t="s">
        <v>190</v>
      </c>
      <c r="DT29" t="s">
        <v>191</v>
      </c>
      <c r="DU29" t="s">
        <v>187</v>
      </c>
      <c r="DV29" t="s">
        <v>192</v>
      </c>
      <c r="DW29" t="s">
        <v>193</v>
      </c>
      <c r="DX29" t="s">
        <v>31</v>
      </c>
      <c r="DY29" t="s">
        <v>183</v>
      </c>
      <c r="DZ29" t="s">
        <v>36</v>
      </c>
      <c r="EA29" t="s">
        <v>117</v>
      </c>
      <c r="EB29" t="s">
        <v>194</v>
      </c>
      <c r="EE29" t="s">
        <v>195</v>
      </c>
      <c r="EF29" t="s">
        <v>196</v>
      </c>
      <c r="EG29" t="s">
        <v>197</v>
      </c>
      <c r="EH29" t="s">
        <v>187</v>
      </c>
      <c r="EI29" t="s">
        <v>173</v>
      </c>
      <c r="EJ29" t="s">
        <v>198</v>
      </c>
      <c r="EK29" t="s">
        <v>167</v>
      </c>
      <c r="EL29" t="s">
        <v>64</v>
      </c>
      <c r="EM29" t="s">
        <v>199</v>
      </c>
      <c r="EN29" t="s">
        <v>200</v>
      </c>
      <c r="EO29" t="s">
        <v>201</v>
      </c>
      <c r="ER29" t="s">
        <v>263</v>
      </c>
      <c r="ES29" t="s">
        <v>264</v>
      </c>
      <c r="ET29" t="s">
        <v>249</v>
      </c>
      <c r="EU29" t="s">
        <v>265</v>
      </c>
      <c r="EV29" t="s">
        <v>24</v>
      </c>
      <c r="EW29" t="s">
        <v>266</v>
      </c>
      <c r="EX29" t="s">
        <v>267</v>
      </c>
      <c r="EY29" t="s">
        <v>21</v>
      </c>
      <c r="EZ29" t="s">
        <v>268</v>
      </c>
      <c r="FA29" t="s">
        <v>147</v>
      </c>
      <c r="FB29" t="s">
        <v>149</v>
      </c>
      <c r="FE29" t="s">
        <v>246</v>
      </c>
      <c r="FF29" t="s">
        <v>4</v>
      </c>
      <c r="FG29" t="s">
        <v>37</v>
      </c>
      <c r="FH29" t="s">
        <v>179</v>
      </c>
      <c r="FI29" t="s">
        <v>247</v>
      </c>
      <c r="FJ29" t="s">
        <v>105</v>
      </c>
      <c r="FK29" t="s">
        <v>126</v>
      </c>
      <c r="FL29" t="s">
        <v>149</v>
      </c>
      <c r="FM29" t="s">
        <v>109</v>
      </c>
      <c r="FN29" t="s">
        <v>170</v>
      </c>
      <c r="FO29" t="s">
        <v>47</v>
      </c>
      <c r="FR29" t="s">
        <v>263</v>
      </c>
      <c r="FS29" t="s">
        <v>264</v>
      </c>
      <c r="FT29" t="s">
        <v>249</v>
      </c>
      <c r="FU29" t="s">
        <v>265</v>
      </c>
      <c r="FV29" t="s">
        <v>24</v>
      </c>
      <c r="FW29" t="s">
        <v>266</v>
      </c>
      <c r="FX29" t="s">
        <v>267</v>
      </c>
      <c r="FY29" t="s">
        <v>21</v>
      </c>
      <c r="FZ29" t="s">
        <v>268</v>
      </c>
      <c r="GA29" t="s">
        <v>147</v>
      </c>
      <c r="GB29" t="s">
        <v>149</v>
      </c>
      <c r="GE29" t="s">
        <v>263</v>
      </c>
      <c r="GF29" t="s">
        <v>264</v>
      </c>
      <c r="GG29" t="s">
        <v>249</v>
      </c>
      <c r="GH29" t="s">
        <v>265</v>
      </c>
      <c r="GI29" t="s">
        <v>24</v>
      </c>
      <c r="GJ29" t="s">
        <v>266</v>
      </c>
      <c r="GK29" t="s">
        <v>267</v>
      </c>
      <c r="GL29" t="s">
        <v>21</v>
      </c>
      <c r="GM29" t="s">
        <v>268</v>
      </c>
      <c r="GN29" t="s">
        <v>147</v>
      </c>
      <c r="GO29" t="s">
        <v>149</v>
      </c>
    </row>
    <row r="30" spans="1:197" x14ac:dyDescent="0.25">
      <c r="A30" t="s">
        <v>189</v>
      </c>
      <c r="B30" t="s">
        <v>190</v>
      </c>
      <c r="C30" t="s">
        <v>191</v>
      </c>
      <c r="D30" t="s">
        <v>187</v>
      </c>
      <c r="E30" t="s">
        <v>192</v>
      </c>
      <c r="F30" t="s">
        <v>193</v>
      </c>
      <c r="G30" t="s">
        <v>31</v>
      </c>
      <c r="H30" t="s">
        <v>183</v>
      </c>
      <c r="I30" t="s">
        <v>36</v>
      </c>
      <c r="J30" t="s">
        <v>117</v>
      </c>
      <c r="K30" t="s">
        <v>194</v>
      </c>
      <c r="Y30" t="s">
        <v>328</v>
      </c>
      <c r="Z30" t="s">
        <v>26</v>
      </c>
      <c r="AA30" t="s">
        <v>329</v>
      </c>
      <c r="AB30" t="s">
        <v>121</v>
      </c>
      <c r="AC30" t="s">
        <v>117</v>
      </c>
      <c r="AD30" t="s">
        <v>27</v>
      </c>
      <c r="AE30" t="s">
        <v>183</v>
      </c>
      <c r="AF30" t="s">
        <v>330</v>
      </c>
      <c r="AG30" t="s">
        <v>4</v>
      </c>
      <c r="AH30" t="s">
        <v>327</v>
      </c>
      <c r="AI30" t="s">
        <v>194</v>
      </c>
      <c r="AM30" t="s">
        <v>11</v>
      </c>
      <c r="AN30" t="s">
        <v>12</v>
      </c>
      <c r="AO30" t="s">
        <v>13</v>
      </c>
      <c r="AP30" t="s">
        <v>14</v>
      </c>
      <c r="AQ30" t="s">
        <v>15</v>
      </c>
      <c r="AR30" t="s">
        <v>16</v>
      </c>
      <c r="AS30" t="s">
        <v>17</v>
      </c>
      <c r="AT30" t="s">
        <v>18</v>
      </c>
      <c r="AU30" t="s">
        <v>19</v>
      </c>
      <c r="AV30" t="s">
        <v>20</v>
      </c>
      <c r="AW30" t="s">
        <v>21</v>
      </c>
      <c r="BA30" t="s">
        <v>189</v>
      </c>
      <c r="BB30" t="s">
        <v>190</v>
      </c>
      <c r="BC30" t="s">
        <v>191</v>
      </c>
      <c r="BD30" t="s">
        <v>187</v>
      </c>
      <c r="BE30" t="s">
        <v>192</v>
      </c>
      <c r="BF30" t="s">
        <v>193</v>
      </c>
      <c r="BG30" t="s">
        <v>31</v>
      </c>
      <c r="BH30" t="s">
        <v>183</v>
      </c>
      <c r="BI30" t="s">
        <v>36</v>
      </c>
      <c r="BJ30" t="s">
        <v>117</v>
      </c>
      <c r="BK30" t="s">
        <v>194</v>
      </c>
      <c r="BO30" t="s">
        <v>174</v>
      </c>
      <c r="BP30" t="s">
        <v>37</v>
      </c>
      <c r="BQ30" t="s">
        <v>147</v>
      </c>
      <c r="BR30" t="s">
        <v>175</v>
      </c>
      <c r="BS30" t="s">
        <v>149</v>
      </c>
      <c r="BT30" t="s">
        <v>170</v>
      </c>
      <c r="BU30" t="s">
        <v>176</v>
      </c>
      <c r="BV30" t="s">
        <v>177</v>
      </c>
      <c r="BW30" t="s">
        <v>178</v>
      </c>
      <c r="BX30" t="s">
        <v>179</v>
      </c>
      <c r="BY30" t="s">
        <v>180</v>
      </c>
      <c r="CC30" t="s">
        <v>110</v>
      </c>
      <c r="CD30" t="s">
        <v>8</v>
      </c>
      <c r="CE30" t="s">
        <v>2</v>
      </c>
      <c r="CF30" t="s">
        <v>111</v>
      </c>
      <c r="CG30" t="s">
        <v>56</v>
      </c>
      <c r="CH30" t="s">
        <v>92</v>
      </c>
      <c r="CI30" t="s">
        <v>8</v>
      </c>
      <c r="CJ30" t="s">
        <v>112</v>
      </c>
      <c r="CK30" t="s">
        <v>96</v>
      </c>
      <c r="CL30" t="s">
        <v>113</v>
      </c>
      <c r="CM30" t="s">
        <v>114</v>
      </c>
      <c r="CQ30" t="s">
        <v>460</v>
      </c>
      <c r="DE30" t="s">
        <v>367</v>
      </c>
      <c r="DF30" t="s">
        <v>132</v>
      </c>
      <c r="DG30" t="s">
        <v>368</v>
      </c>
      <c r="DH30" t="s">
        <v>96</v>
      </c>
      <c r="DI30" t="s">
        <v>130</v>
      </c>
      <c r="DJ30" t="s">
        <v>369</v>
      </c>
      <c r="DK30" t="s">
        <v>26</v>
      </c>
      <c r="DL30" t="s">
        <v>369</v>
      </c>
      <c r="DM30" t="s">
        <v>121</v>
      </c>
      <c r="DN30" t="s">
        <v>368</v>
      </c>
      <c r="DO30" t="s">
        <v>370</v>
      </c>
      <c r="DR30" t="s">
        <v>195</v>
      </c>
      <c r="DS30" t="s">
        <v>196</v>
      </c>
      <c r="DT30" t="s">
        <v>197</v>
      </c>
      <c r="DU30" t="s">
        <v>187</v>
      </c>
      <c r="DV30" t="s">
        <v>173</v>
      </c>
      <c r="DW30" t="s">
        <v>198</v>
      </c>
      <c r="DX30" t="s">
        <v>167</v>
      </c>
      <c r="DY30" t="s">
        <v>64</v>
      </c>
      <c r="DZ30" t="s">
        <v>199</v>
      </c>
      <c r="EA30" t="s">
        <v>200</v>
      </c>
      <c r="EB30" t="s">
        <v>201</v>
      </c>
      <c r="EE30" t="s">
        <v>391</v>
      </c>
      <c r="EF30" t="s">
        <v>211</v>
      </c>
      <c r="EG30" t="s">
        <v>210</v>
      </c>
      <c r="EH30" t="s">
        <v>207</v>
      </c>
      <c r="EI30" t="s">
        <v>212</v>
      </c>
      <c r="EJ30" t="s">
        <v>142</v>
      </c>
      <c r="EK30" t="s">
        <v>213</v>
      </c>
      <c r="EL30" t="s">
        <v>214</v>
      </c>
      <c r="EM30" t="s">
        <v>215</v>
      </c>
      <c r="EN30" t="s">
        <v>216</v>
      </c>
      <c r="EO30" t="s">
        <v>217</v>
      </c>
      <c r="ER30" t="s">
        <v>294</v>
      </c>
      <c r="ES30" t="s">
        <v>295</v>
      </c>
      <c r="ET30" t="s">
        <v>296</v>
      </c>
      <c r="EU30" t="s">
        <v>8</v>
      </c>
      <c r="EV30" t="s">
        <v>8</v>
      </c>
      <c r="EW30" t="s">
        <v>297</v>
      </c>
      <c r="EX30" t="s">
        <v>37</v>
      </c>
      <c r="EY30" t="s">
        <v>163</v>
      </c>
      <c r="EZ30" t="s">
        <v>184</v>
      </c>
      <c r="FA30" t="s">
        <v>298</v>
      </c>
      <c r="FB30" t="s">
        <v>299</v>
      </c>
      <c r="FE30" t="s">
        <v>263</v>
      </c>
      <c r="FF30" t="s">
        <v>264</v>
      </c>
      <c r="FG30" t="s">
        <v>249</v>
      </c>
      <c r="FH30" t="s">
        <v>265</v>
      </c>
      <c r="FI30" t="s">
        <v>24</v>
      </c>
      <c r="FJ30" t="s">
        <v>266</v>
      </c>
      <c r="FK30" t="s">
        <v>267</v>
      </c>
      <c r="FL30" t="s">
        <v>21</v>
      </c>
      <c r="FM30" t="s">
        <v>268</v>
      </c>
      <c r="FN30" t="s">
        <v>147</v>
      </c>
      <c r="FO30" t="s">
        <v>149</v>
      </c>
      <c r="FR30" t="s">
        <v>294</v>
      </c>
      <c r="FS30" t="s">
        <v>295</v>
      </c>
      <c r="FT30" t="s">
        <v>296</v>
      </c>
      <c r="FU30" t="s">
        <v>8</v>
      </c>
      <c r="FV30" t="s">
        <v>8</v>
      </c>
      <c r="FW30" t="s">
        <v>297</v>
      </c>
      <c r="FX30" t="s">
        <v>37</v>
      </c>
      <c r="FY30" t="s">
        <v>163</v>
      </c>
      <c r="FZ30" t="s">
        <v>184</v>
      </c>
      <c r="GA30" t="s">
        <v>298</v>
      </c>
      <c r="GB30" t="s">
        <v>299</v>
      </c>
      <c r="GE30" t="s">
        <v>307</v>
      </c>
      <c r="GF30" t="s">
        <v>301</v>
      </c>
      <c r="GG30" t="s">
        <v>26</v>
      </c>
      <c r="GH30" t="s">
        <v>127</v>
      </c>
      <c r="GI30" t="s">
        <v>6</v>
      </c>
      <c r="GJ30" t="s">
        <v>139</v>
      </c>
      <c r="GK30" t="s">
        <v>308</v>
      </c>
      <c r="GL30" t="s">
        <v>51</v>
      </c>
      <c r="GM30" t="s">
        <v>62</v>
      </c>
      <c r="GN30" t="s">
        <v>309</v>
      </c>
      <c r="GO30" t="s">
        <v>46</v>
      </c>
    </row>
    <row r="31" spans="1:197" x14ac:dyDescent="0.25">
      <c r="A31" t="s">
        <v>195</v>
      </c>
      <c r="B31" t="s">
        <v>196</v>
      </c>
      <c r="C31" t="s">
        <v>197</v>
      </c>
      <c r="D31" t="s">
        <v>187</v>
      </c>
      <c r="E31" t="s">
        <v>173</v>
      </c>
      <c r="F31" t="s">
        <v>198</v>
      </c>
      <c r="G31" t="s">
        <v>167</v>
      </c>
      <c r="H31" t="s">
        <v>64</v>
      </c>
      <c r="I31" t="s">
        <v>199</v>
      </c>
      <c r="J31" t="s">
        <v>200</v>
      </c>
      <c r="K31" t="s">
        <v>201</v>
      </c>
      <c r="Y31" t="s">
        <v>331</v>
      </c>
      <c r="Z31" t="s">
        <v>121</v>
      </c>
      <c r="AA31" t="s">
        <v>242</v>
      </c>
      <c r="AB31" t="s">
        <v>241</v>
      </c>
      <c r="AC31" t="s">
        <v>52</v>
      </c>
      <c r="AD31" t="s">
        <v>330</v>
      </c>
      <c r="AE31" t="s">
        <v>4</v>
      </c>
      <c r="AF31" t="s">
        <v>26</v>
      </c>
      <c r="AG31" t="s">
        <v>245</v>
      </c>
      <c r="AH31" t="s">
        <v>28</v>
      </c>
      <c r="AI31" t="s">
        <v>277</v>
      </c>
      <c r="AM31" t="s">
        <v>110</v>
      </c>
      <c r="AN31" t="s">
        <v>8</v>
      </c>
      <c r="AO31" t="s">
        <v>2</v>
      </c>
      <c r="AP31" t="s">
        <v>111</v>
      </c>
      <c r="AQ31" t="s">
        <v>56</v>
      </c>
      <c r="AR31" t="s">
        <v>92</v>
      </c>
      <c r="AS31" t="s">
        <v>8</v>
      </c>
      <c r="AT31" t="s">
        <v>112</v>
      </c>
      <c r="AU31" t="s">
        <v>96</v>
      </c>
      <c r="AV31" t="s">
        <v>113</v>
      </c>
      <c r="AW31" t="s">
        <v>114</v>
      </c>
      <c r="BA31" t="s">
        <v>195</v>
      </c>
      <c r="BB31" t="s">
        <v>196</v>
      </c>
      <c r="BC31" t="s">
        <v>197</v>
      </c>
      <c r="BD31" t="s">
        <v>187</v>
      </c>
      <c r="BE31" t="s">
        <v>173</v>
      </c>
      <c r="BF31" t="s">
        <v>198</v>
      </c>
      <c r="BG31" t="s">
        <v>167</v>
      </c>
      <c r="BH31" t="s">
        <v>64</v>
      </c>
      <c r="BI31" t="s">
        <v>199</v>
      </c>
      <c r="BJ31" t="s">
        <v>200</v>
      </c>
      <c r="BK31" t="s">
        <v>201</v>
      </c>
      <c r="BO31" t="s">
        <v>189</v>
      </c>
      <c r="BP31" t="s">
        <v>190</v>
      </c>
      <c r="BQ31" t="s">
        <v>191</v>
      </c>
      <c r="BR31" t="s">
        <v>187</v>
      </c>
      <c r="BS31" t="s">
        <v>192</v>
      </c>
      <c r="BT31" t="s">
        <v>193</v>
      </c>
      <c r="BU31" t="s">
        <v>31</v>
      </c>
      <c r="BV31" t="s">
        <v>183</v>
      </c>
      <c r="BW31" t="s">
        <v>36</v>
      </c>
      <c r="BX31" t="s">
        <v>117</v>
      </c>
      <c r="BY31" t="s">
        <v>194</v>
      </c>
      <c r="CC31" t="s">
        <v>144</v>
      </c>
      <c r="CD31" t="s">
        <v>145</v>
      </c>
      <c r="CE31" t="s">
        <v>37</v>
      </c>
      <c r="CF31" t="s">
        <v>37</v>
      </c>
      <c r="CG31" t="s">
        <v>125</v>
      </c>
      <c r="CH31" t="s">
        <v>140</v>
      </c>
      <c r="CI31" t="s">
        <v>146</v>
      </c>
      <c r="CJ31" t="s">
        <v>4</v>
      </c>
      <c r="CK31" t="s">
        <v>147</v>
      </c>
      <c r="CL31" t="s">
        <v>148</v>
      </c>
      <c r="CM31" t="s">
        <v>149</v>
      </c>
      <c r="CQ31" t="s">
        <v>11</v>
      </c>
      <c r="CR31" t="s">
        <v>12</v>
      </c>
      <c r="CS31" t="s">
        <v>13</v>
      </c>
      <c r="CT31" t="s">
        <v>14</v>
      </c>
      <c r="CU31" t="s">
        <v>15</v>
      </c>
      <c r="CV31" t="s">
        <v>16</v>
      </c>
      <c r="CW31" t="s">
        <v>17</v>
      </c>
      <c r="CX31" t="s">
        <v>18</v>
      </c>
      <c r="CY31" t="s">
        <v>19</v>
      </c>
      <c r="CZ31" t="s">
        <v>20</v>
      </c>
      <c r="DA31" t="s">
        <v>21</v>
      </c>
      <c r="DR31" t="s">
        <v>391</v>
      </c>
      <c r="DS31" t="s">
        <v>211</v>
      </c>
      <c r="DT31" t="s">
        <v>210</v>
      </c>
      <c r="DU31" t="s">
        <v>207</v>
      </c>
      <c r="DV31" t="s">
        <v>212</v>
      </c>
      <c r="DW31" t="s">
        <v>142</v>
      </c>
      <c r="DX31" t="s">
        <v>213</v>
      </c>
      <c r="DY31" t="s">
        <v>214</v>
      </c>
      <c r="DZ31" t="s">
        <v>215</v>
      </c>
      <c r="EA31" t="s">
        <v>216</v>
      </c>
      <c r="EB31" t="s">
        <v>217</v>
      </c>
      <c r="EE31" t="s">
        <v>246</v>
      </c>
      <c r="EF31" t="s">
        <v>4</v>
      </c>
      <c r="EG31" t="s">
        <v>37</v>
      </c>
      <c r="EH31" t="s">
        <v>179</v>
      </c>
      <c r="EI31" t="s">
        <v>247</v>
      </c>
      <c r="EJ31" t="s">
        <v>105</v>
      </c>
      <c r="EK31" t="s">
        <v>126</v>
      </c>
      <c r="EL31" t="s">
        <v>149</v>
      </c>
      <c r="EM31" t="s">
        <v>109</v>
      </c>
      <c r="EN31" t="s">
        <v>170</v>
      </c>
      <c r="EO31" t="s">
        <v>47</v>
      </c>
      <c r="ER31" t="s">
        <v>307</v>
      </c>
      <c r="ES31" t="s">
        <v>301</v>
      </c>
      <c r="ET31" t="s">
        <v>26</v>
      </c>
      <c r="EU31" t="s">
        <v>127</v>
      </c>
      <c r="EV31" t="s">
        <v>6</v>
      </c>
      <c r="EW31" t="s">
        <v>139</v>
      </c>
      <c r="EX31" t="s">
        <v>308</v>
      </c>
      <c r="EY31" t="s">
        <v>51</v>
      </c>
      <c r="EZ31" t="s">
        <v>62</v>
      </c>
      <c r="FA31" t="s">
        <v>309</v>
      </c>
      <c r="FB31" t="s">
        <v>46</v>
      </c>
      <c r="FE31" t="s">
        <v>294</v>
      </c>
      <c r="FF31" t="s">
        <v>295</v>
      </c>
      <c r="FG31" t="s">
        <v>296</v>
      </c>
      <c r="FH31" t="s">
        <v>8</v>
      </c>
      <c r="FI31" t="s">
        <v>8</v>
      </c>
      <c r="FJ31" t="s">
        <v>297</v>
      </c>
      <c r="FK31" t="s">
        <v>37</v>
      </c>
      <c r="FL31" t="s">
        <v>163</v>
      </c>
      <c r="FM31" t="s">
        <v>184</v>
      </c>
      <c r="FN31" t="s">
        <v>298</v>
      </c>
      <c r="FO31" t="s">
        <v>299</v>
      </c>
      <c r="FR31" t="s">
        <v>307</v>
      </c>
      <c r="FS31" t="s">
        <v>301</v>
      </c>
      <c r="FT31" t="s">
        <v>26</v>
      </c>
      <c r="FU31" t="s">
        <v>127</v>
      </c>
      <c r="FV31" t="s">
        <v>6</v>
      </c>
      <c r="FW31" t="s">
        <v>139</v>
      </c>
      <c r="FX31" t="s">
        <v>308</v>
      </c>
      <c r="FY31" t="s">
        <v>51</v>
      </c>
      <c r="FZ31" t="s">
        <v>62</v>
      </c>
      <c r="GA31" t="s">
        <v>309</v>
      </c>
      <c r="GB31" t="s">
        <v>46</v>
      </c>
      <c r="GE31" t="s">
        <v>71</v>
      </c>
      <c r="GF31" t="s">
        <v>72</v>
      </c>
      <c r="GG31" t="s">
        <v>37</v>
      </c>
      <c r="GH31" t="s">
        <v>26</v>
      </c>
      <c r="GI31" t="s">
        <v>73</v>
      </c>
      <c r="GJ31" t="s">
        <v>43</v>
      </c>
      <c r="GK31" t="s">
        <v>60</v>
      </c>
      <c r="GL31" t="s">
        <v>6</v>
      </c>
      <c r="GM31" t="s">
        <v>74</v>
      </c>
      <c r="GN31" t="s">
        <v>75</v>
      </c>
      <c r="GO31" t="s">
        <v>76</v>
      </c>
    </row>
    <row r="32" spans="1:197" x14ac:dyDescent="0.25">
      <c r="A32" t="s">
        <v>202</v>
      </c>
      <c r="B32" t="s">
        <v>203</v>
      </c>
      <c r="C32" t="s">
        <v>199</v>
      </c>
      <c r="D32" t="s">
        <v>38</v>
      </c>
      <c r="E32" t="s">
        <v>204</v>
      </c>
      <c r="F32" t="s">
        <v>132</v>
      </c>
      <c r="G32" t="s">
        <v>203</v>
      </c>
      <c r="H32" t="s">
        <v>24</v>
      </c>
      <c r="I32" t="s">
        <v>28</v>
      </c>
      <c r="J32" t="s">
        <v>194</v>
      </c>
      <c r="K32" t="s">
        <v>27</v>
      </c>
      <c r="Y32" t="s">
        <v>342</v>
      </c>
      <c r="Z32" t="s">
        <v>29</v>
      </c>
      <c r="AA32" t="s">
        <v>24</v>
      </c>
      <c r="AB32" t="s">
        <v>6</v>
      </c>
      <c r="AC32" t="s">
        <v>26</v>
      </c>
      <c r="AD32" t="s">
        <v>64</v>
      </c>
      <c r="AE32" t="s">
        <v>292</v>
      </c>
      <c r="AF32" t="s">
        <v>27</v>
      </c>
      <c r="AG32" t="s">
        <v>8</v>
      </c>
      <c r="AH32" t="s">
        <v>42</v>
      </c>
      <c r="AI32" t="s">
        <v>54</v>
      </c>
      <c r="AM32" t="s">
        <v>144</v>
      </c>
      <c r="AN32" t="s">
        <v>145</v>
      </c>
      <c r="AO32" t="s">
        <v>37</v>
      </c>
      <c r="AP32" t="s">
        <v>37</v>
      </c>
      <c r="AQ32" t="s">
        <v>125</v>
      </c>
      <c r="AR32" t="s">
        <v>140</v>
      </c>
      <c r="AS32" t="s">
        <v>146</v>
      </c>
      <c r="AT32" t="s">
        <v>4</v>
      </c>
      <c r="AU32" t="s">
        <v>147</v>
      </c>
      <c r="AV32" t="s">
        <v>148</v>
      </c>
      <c r="AW32" t="s">
        <v>149</v>
      </c>
      <c r="BA32" t="s">
        <v>391</v>
      </c>
      <c r="BB32" t="s">
        <v>211</v>
      </c>
      <c r="BC32" t="s">
        <v>210</v>
      </c>
      <c r="BD32" t="s">
        <v>207</v>
      </c>
      <c r="BE32" t="s">
        <v>212</v>
      </c>
      <c r="BF32" t="s">
        <v>142</v>
      </c>
      <c r="BG32" t="s">
        <v>213</v>
      </c>
      <c r="BH32" t="s">
        <v>214</v>
      </c>
      <c r="BI32" t="s">
        <v>215</v>
      </c>
      <c r="BJ32" t="s">
        <v>216</v>
      </c>
      <c r="BK32" t="s">
        <v>217</v>
      </c>
      <c r="BO32" t="s">
        <v>195</v>
      </c>
      <c r="BP32" t="s">
        <v>196</v>
      </c>
      <c r="BQ32" t="s">
        <v>197</v>
      </c>
      <c r="BR32" t="s">
        <v>187</v>
      </c>
      <c r="BS32" t="s">
        <v>173</v>
      </c>
      <c r="BT32" t="s">
        <v>198</v>
      </c>
      <c r="BU32" t="s">
        <v>167</v>
      </c>
      <c r="BV32" t="s">
        <v>64</v>
      </c>
      <c r="BW32" t="s">
        <v>199</v>
      </c>
      <c r="BX32" t="s">
        <v>200</v>
      </c>
      <c r="BY32" t="s">
        <v>201</v>
      </c>
      <c r="CC32" t="s">
        <v>156</v>
      </c>
      <c r="CD32" t="s">
        <v>145</v>
      </c>
      <c r="CE32" t="s">
        <v>21</v>
      </c>
      <c r="CF32" t="s">
        <v>157</v>
      </c>
      <c r="CG32" t="s">
        <v>24</v>
      </c>
      <c r="CH32" t="s">
        <v>39</v>
      </c>
      <c r="CI32" t="s">
        <v>158</v>
      </c>
      <c r="CJ32" t="s">
        <v>139</v>
      </c>
      <c r="CK32" t="s">
        <v>96</v>
      </c>
      <c r="CL32" t="s">
        <v>151</v>
      </c>
      <c r="CM32" t="s">
        <v>159</v>
      </c>
      <c r="CQ32" t="s">
        <v>110</v>
      </c>
      <c r="CR32" t="s">
        <v>8</v>
      </c>
      <c r="CS32" t="s">
        <v>2</v>
      </c>
      <c r="CT32" t="s">
        <v>111</v>
      </c>
      <c r="CU32" t="s">
        <v>56</v>
      </c>
      <c r="CV32" t="s">
        <v>92</v>
      </c>
      <c r="CW32" t="s">
        <v>8</v>
      </c>
      <c r="CX32" t="s">
        <v>112</v>
      </c>
      <c r="CY32" t="s">
        <v>96</v>
      </c>
      <c r="CZ32" t="s">
        <v>113</v>
      </c>
      <c r="DA32" t="s">
        <v>114</v>
      </c>
      <c r="DD32" t="s">
        <v>504</v>
      </c>
      <c r="DE32" t="s">
        <v>482</v>
      </c>
      <c r="DR32" t="s">
        <v>223</v>
      </c>
      <c r="DS32" t="s">
        <v>224</v>
      </c>
      <c r="DT32" t="s">
        <v>225</v>
      </c>
      <c r="DU32" t="s">
        <v>226</v>
      </c>
      <c r="DV32" t="s">
        <v>207</v>
      </c>
      <c r="DW32" t="s">
        <v>227</v>
      </c>
      <c r="DX32" t="s">
        <v>228</v>
      </c>
      <c r="DY32" t="s">
        <v>229</v>
      </c>
      <c r="DZ32" t="s">
        <v>209</v>
      </c>
      <c r="EA32" t="s">
        <v>28</v>
      </c>
      <c r="EB32" t="s">
        <v>230</v>
      </c>
      <c r="EE32" t="s">
        <v>263</v>
      </c>
      <c r="EF32" t="s">
        <v>264</v>
      </c>
      <c r="EG32" t="s">
        <v>249</v>
      </c>
      <c r="EH32" t="s">
        <v>265</v>
      </c>
      <c r="EI32" t="s">
        <v>24</v>
      </c>
      <c r="EJ32" t="s">
        <v>266</v>
      </c>
      <c r="EK32" t="s">
        <v>267</v>
      </c>
      <c r="EL32" t="s">
        <v>21</v>
      </c>
      <c r="EM32" t="s">
        <v>268</v>
      </c>
      <c r="EN32" t="s">
        <v>147</v>
      </c>
      <c r="EO32" t="s">
        <v>149</v>
      </c>
      <c r="ER32" t="s">
        <v>71</v>
      </c>
      <c r="ES32" t="s">
        <v>72</v>
      </c>
      <c r="ET32" t="s">
        <v>37</v>
      </c>
      <c r="EU32" t="s">
        <v>26</v>
      </c>
      <c r="EV32" t="s">
        <v>73</v>
      </c>
      <c r="EW32" t="s">
        <v>43</v>
      </c>
      <c r="EX32" t="s">
        <v>60</v>
      </c>
      <c r="EY32" t="s">
        <v>6</v>
      </c>
      <c r="EZ32" t="s">
        <v>74</v>
      </c>
      <c r="FA32" t="s">
        <v>75</v>
      </c>
      <c r="FB32" t="s">
        <v>76</v>
      </c>
      <c r="FE32" t="s">
        <v>307</v>
      </c>
      <c r="FF32" t="s">
        <v>301</v>
      </c>
      <c r="FG32" t="s">
        <v>26</v>
      </c>
      <c r="FH32" t="s">
        <v>127</v>
      </c>
      <c r="FI32" t="s">
        <v>6</v>
      </c>
      <c r="FJ32" t="s">
        <v>139</v>
      </c>
      <c r="FK32" t="s">
        <v>308</v>
      </c>
      <c r="FL32" t="s">
        <v>51</v>
      </c>
      <c r="FM32" t="s">
        <v>62</v>
      </c>
      <c r="FN32" t="s">
        <v>309</v>
      </c>
      <c r="FO32" t="s">
        <v>46</v>
      </c>
      <c r="FR32" t="s">
        <v>71</v>
      </c>
      <c r="FS32" t="s">
        <v>72</v>
      </c>
      <c r="FT32" t="s">
        <v>37</v>
      </c>
      <c r="FU32" t="s">
        <v>26</v>
      </c>
      <c r="FV32" t="s">
        <v>73</v>
      </c>
      <c r="FW32" t="s">
        <v>43</v>
      </c>
      <c r="FX32" t="s">
        <v>60</v>
      </c>
      <c r="FY32" t="s">
        <v>6</v>
      </c>
      <c r="FZ32" t="s">
        <v>74</v>
      </c>
      <c r="GA32" t="s">
        <v>75</v>
      </c>
      <c r="GB32" t="s">
        <v>76</v>
      </c>
      <c r="GE32" t="s">
        <v>89</v>
      </c>
      <c r="GF32" t="s">
        <v>90</v>
      </c>
      <c r="GG32" t="s">
        <v>2</v>
      </c>
      <c r="GH32" t="s">
        <v>91</v>
      </c>
      <c r="GI32" t="s">
        <v>92</v>
      </c>
      <c r="GJ32" t="s">
        <v>26</v>
      </c>
      <c r="GK32" t="s">
        <v>6</v>
      </c>
      <c r="GL32" t="s">
        <v>74</v>
      </c>
      <c r="GM32" t="s">
        <v>79</v>
      </c>
      <c r="GN32" t="s">
        <v>93</v>
      </c>
      <c r="GO32" t="s">
        <v>94</v>
      </c>
    </row>
    <row r="33" spans="1:197" x14ac:dyDescent="0.25">
      <c r="A33" t="s">
        <v>205</v>
      </c>
      <c r="B33" t="s">
        <v>206</v>
      </c>
      <c r="C33" t="s">
        <v>207</v>
      </c>
      <c r="D33" t="s">
        <v>27</v>
      </c>
      <c r="E33" t="s">
        <v>149</v>
      </c>
      <c r="F33" t="s">
        <v>208</v>
      </c>
      <c r="G33" t="s">
        <v>159</v>
      </c>
      <c r="H33" t="s">
        <v>209</v>
      </c>
      <c r="I33" t="s">
        <v>182</v>
      </c>
      <c r="J33" t="s">
        <v>210</v>
      </c>
      <c r="K33" t="s">
        <v>206</v>
      </c>
      <c r="Y33" t="s">
        <v>343</v>
      </c>
      <c r="Z33" t="s">
        <v>29</v>
      </c>
      <c r="AA33" t="s">
        <v>26</v>
      </c>
      <c r="AB33" t="s">
        <v>60</v>
      </c>
      <c r="AC33" t="s">
        <v>344</v>
      </c>
      <c r="AD33" t="s">
        <v>62</v>
      </c>
      <c r="AE33" t="s">
        <v>8</v>
      </c>
      <c r="AF33" t="s">
        <v>84</v>
      </c>
      <c r="AG33" t="s">
        <v>36</v>
      </c>
      <c r="AH33" t="s">
        <v>7</v>
      </c>
      <c r="AI33" t="s">
        <v>20</v>
      </c>
      <c r="AM33" t="s">
        <v>150</v>
      </c>
      <c r="AN33" t="s">
        <v>151</v>
      </c>
      <c r="AO33" t="s">
        <v>140</v>
      </c>
      <c r="AP33" t="s">
        <v>145</v>
      </c>
      <c r="AQ33" t="s">
        <v>152</v>
      </c>
      <c r="AR33" t="s">
        <v>153</v>
      </c>
      <c r="AS33" t="s">
        <v>154</v>
      </c>
      <c r="AT33" t="s">
        <v>121</v>
      </c>
      <c r="AU33" t="s">
        <v>73</v>
      </c>
      <c r="AV33" t="s">
        <v>24</v>
      </c>
      <c r="AW33" t="s">
        <v>155</v>
      </c>
      <c r="BA33" t="s">
        <v>223</v>
      </c>
      <c r="BB33" t="s">
        <v>224</v>
      </c>
      <c r="BC33" t="s">
        <v>225</v>
      </c>
      <c r="BD33" t="s">
        <v>226</v>
      </c>
      <c r="BE33" t="s">
        <v>207</v>
      </c>
      <c r="BF33" t="s">
        <v>227</v>
      </c>
      <c r="BG33" t="s">
        <v>228</v>
      </c>
      <c r="BH33" t="s">
        <v>229</v>
      </c>
      <c r="BI33" t="s">
        <v>209</v>
      </c>
      <c r="BJ33" t="s">
        <v>28</v>
      </c>
      <c r="BK33" t="s">
        <v>230</v>
      </c>
      <c r="BO33" t="s">
        <v>391</v>
      </c>
      <c r="BP33" t="s">
        <v>211</v>
      </c>
      <c r="BQ33" t="s">
        <v>210</v>
      </c>
      <c r="BR33" t="s">
        <v>207</v>
      </c>
      <c r="BS33" t="s">
        <v>212</v>
      </c>
      <c r="BT33" t="s">
        <v>142</v>
      </c>
      <c r="BU33" t="s">
        <v>213</v>
      </c>
      <c r="BV33" t="s">
        <v>214</v>
      </c>
      <c r="BW33" t="s">
        <v>215</v>
      </c>
      <c r="BX33" t="s">
        <v>216</v>
      </c>
      <c r="BY33" t="s">
        <v>217</v>
      </c>
      <c r="CC33" t="s">
        <v>160</v>
      </c>
      <c r="CD33" t="s">
        <v>161</v>
      </c>
      <c r="CE33" t="s">
        <v>162</v>
      </c>
      <c r="CF33" t="s">
        <v>163</v>
      </c>
      <c r="CG33" t="s">
        <v>140</v>
      </c>
      <c r="CH33" t="s">
        <v>3</v>
      </c>
      <c r="CI33" t="s">
        <v>164</v>
      </c>
      <c r="CJ33" t="s">
        <v>165</v>
      </c>
      <c r="CK33" t="s">
        <v>166</v>
      </c>
      <c r="CL33" t="s">
        <v>167</v>
      </c>
      <c r="CM33" t="s">
        <v>159</v>
      </c>
      <c r="CQ33" t="s">
        <v>144</v>
      </c>
      <c r="CR33" t="s">
        <v>145</v>
      </c>
      <c r="CS33" t="s">
        <v>37</v>
      </c>
      <c r="CT33" t="s">
        <v>37</v>
      </c>
      <c r="CU33" t="s">
        <v>125</v>
      </c>
      <c r="CV33" t="s">
        <v>140</v>
      </c>
      <c r="CW33" t="s">
        <v>146</v>
      </c>
      <c r="CX33" t="s">
        <v>4</v>
      </c>
      <c r="CY33" t="s">
        <v>147</v>
      </c>
      <c r="CZ33" t="s">
        <v>148</v>
      </c>
      <c r="DA33" t="s">
        <v>149</v>
      </c>
      <c r="DD33">
        <f>5/8*100</f>
        <v>62.5</v>
      </c>
      <c r="DE33" t="s">
        <v>11</v>
      </c>
      <c r="DF33" t="s">
        <v>12</v>
      </c>
      <c r="DG33" t="s">
        <v>13</v>
      </c>
      <c r="DH33" t="s">
        <v>14</v>
      </c>
      <c r="DI33" t="s">
        <v>15</v>
      </c>
      <c r="DJ33" t="s">
        <v>16</v>
      </c>
      <c r="DK33" t="s">
        <v>17</v>
      </c>
      <c r="DL33" t="s">
        <v>18</v>
      </c>
      <c r="DM33" t="s">
        <v>19</v>
      </c>
      <c r="DN33" t="s">
        <v>20</v>
      </c>
      <c r="DO33" t="s">
        <v>21</v>
      </c>
      <c r="DR33" t="s">
        <v>246</v>
      </c>
      <c r="DS33" t="s">
        <v>4</v>
      </c>
      <c r="DT33" t="s">
        <v>37</v>
      </c>
      <c r="DU33" t="s">
        <v>179</v>
      </c>
      <c r="DV33" t="s">
        <v>247</v>
      </c>
      <c r="DW33" t="s">
        <v>105</v>
      </c>
      <c r="DX33" t="s">
        <v>126</v>
      </c>
      <c r="DY33" t="s">
        <v>149</v>
      </c>
      <c r="DZ33" t="s">
        <v>109</v>
      </c>
      <c r="EA33" t="s">
        <v>170</v>
      </c>
      <c r="EB33" t="s">
        <v>47</v>
      </c>
      <c r="EE33" t="s">
        <v>278</v>
      </c>
      <c r="EF33" t="s">
        <v>279</v>
      </c>
      <c r="EG33" t="s">
        <v>37</v>
      </c>
      <c r="EH33" t="s">
        <v>8</v>
      </c>
      <c r="EI33" t="s">
        <v>280</v>
      </c>
      <c r="EJ33" t="s">
        <v>281</v>
      </c>
      <c r="EK33" t="s">
        <v>96</v>
      </c>
      <c r="EL33" t="s">
        <v>282</v>
      </c>
      <c r="EM33" t="s">
        <v>148</v>
      </c>
      <c r="EN33" t="s">
        <v>188</v>
      </c>
      <c r="EO33" t="s">
        <v>283</v>
      </c>
      <c r="ER33" t="s">
        <v>89</v>
      </c>
      <c r="ES33" t="s">
        <v>90</v>
      </c>
      <c r="ET33" t="s">
        <v>2</v>
      </c>
      <c r="EU33" t="s">
        <v>91</v>
      </c>
      <c r="EV33" t="s">
        <v>92</v>
      </c>
      <c r="EW33" t="s">
        <v>26</v>
      </c>
      <c r="EX33" t="s">
        <v>6</v>
      </c>
      <c r="EY33" t="s">
        <v>74</v>
      </c>
      <c r="EZ33" t="s">
        <v>79</v>
      </c>
      <c r="FA33" t="s">
        <v>93</v>
      </c>
      <c r="FB33" t="s">
        <v>94</v>
      </c>
      <c r="FE33" t="s">
        <v>71</v>
      </c>
      <c r="FF33" t="s">
        <v>72</v>
      </c>
      <c r="FG33" t="s">
        <v>37</v>
      </c>
      <c r="FH33" t="s">
        <v>26</v>
      </c>
      <c r="FI33" t="s">
        <v>73</v>
      </c>
      <c r="FJ33" t="s">
        <v>43</v>
      </c>
      <c r="FK33" t="s">
        <v>60</v>
      </c>
      <c r="FL33" t="s">
        <v>6</v>
      </c>
      <c r="FM33" t="s">
        <v>74</v>
      </c>
      <c r="FN33" t="s">
        <v>75</v>
      </c>
      <c r="FO33" t="s">
        <v>76</v>
      </c>
      <c r="FR33" t="s">
        <v>89</v>
      </c>
      <c r="FS33" t="s">
        <v>90</v>
      </c>
      <c r="FT33" t="s">
        <v>2</v>
      </c>
      <c r="FU33" t="s">
        <v>91</v>
      </c>
      <c r="FV33" t="s">
        <v>92</v>
      </c>
      <c r="FW33" t="s">
        <v>26</v>
      </c>
      <c r="FX33" t="s">
        <v>6</v>
      </c>
      <c r="FY33" t="s">
        <v>74</v>
      </c>
      <c r="FZ33" t="s">
        <v>79</v>
      </c>
      <c r="GA33" t="s">
        <v>93</v>
      </c>
      <c r="GB33" t="s">
        <v>94</v>
      </c>
      <c r="GE33" t="s">
        <v>371</v>
      </c>
      <c r="GF33" t="s">
        <v>132</v>
      </c>
      <c r="GG33" t="s">
        <v>6</v>
      </c>
      <c r="GH33" t="s">
        <v>344</v>
      </c>
      <c r="GI33" t="s">
        <v>372</v>
      </c>
      <c r="GJ33" t="s">
        <v>55</v>
      </c>
      <c r="GK33" t="s">
        <v>64</v>
      </c>
      <c r="GL33" t="s">
        <v>373</v>
      </c>
      <c r="GM33" t="s">
        <v>26</v>
      </c>
      <c r="GN33" t="s">
        <v>374</v>
      </c>
      <c r="GO33" t="s">
        <v>188</v>
      </c>
    </row>
    <row r="34" spans="1:197" x14ac:dyDescent="0.25">
      <c r="A34" t="s">
        <v>391</v>
      </c>
      <c r="B34" t="s">
        <v>211</v>
      </c>
      <c r="C34" t="s">
        <v>210</v>
      </c>
      <c r="D34" t="s">
        <v>207</v>
      </c>
      <c r="E34" t="s">
        <v>212</v>
      </c>
      <c r="F34" t="s">
        <v>142</v>
      </c>
      <c r="G34" t="s">
        <v>213</v>
      </c>
      <c r="H34" t="s">
        <v>214</v>
      </c>
      <c r="I34" t="s">
        <v>215</v>
      </c>
      <c r="J34" t="s">
        <v>216</v>
      </c>
      <c r="K34" t="s">
        <v>217</v>
      </c>
      <c r="Y34" t="s">
        <v>352</v>
      </c>
      <c r="Z34" t="s">
        <v>51</v>
      </c>
      <c r="AA34" t="s">
        <v>353</v>
      </c>
      <c r="AB34" t="s">
        <v>344</v>
      </c>
      <c r="AC34" t="s">
        <v>60</v>
      </c>
      <c r="AD34" t="s">
        <v>26</v>
      </c>
      <c r="AE34" t="s">
        <v>24</v>
      </c>
      <c r="AF34" t="s">
        <v>96</v>
      </c>
      <c r="AG34" t="s">
        <v>354</v>
      </c>
      <c r="AH34" t="s">
        <v>163</v>
      </c>
      <c r="AI34" t="s">
        <v>81</v>
      </c>
      <c r="AM34" t="s">
        <v>156</v>
      </c>
      <c r="AN34" t="s">
        <v>145</v>
      </c>
      <c r="AO34" t="s">
        <v>21</v>
      </c>
      <c r="AP34" t="s">
        <v>157</v>
      </c>
      <c r="AQ34" t="s">
        <v>24</v>
      </c>
      <c r="AR34" t="s">
        <v>39</v>
      </c>
      <c r="AS34" t="s">
        <v>158</v>
      </c>
      <c r="AT34" t="s">
        <v>139</v>
      </c>
      <c r="AU34" t="s">
        <v>96</v>
      </c>
      <c r="AV34" t="s">
        <v>151</v>
      </c>
      <c r="AW34" t="s">
        <v>159</v>
      </c>
      <c r="BA34" t="s">
        <v>231</v>
      </c>
      <c r="BB34" t="s">
        <v>139</v>
      </c>
      <c r="BC34" t="s">
        <v>224</v>
      </c>
      <c r="BD34" t="s">
        <v>207</v>
      </c>
      <c r="BE34" t="s">
        <v>225</v>
      </c>
      <c r="BF34" t="s">
        <v>232</v>
      </c>
      <c r="BG34" t="s">
        <v>5</v>
      </c>
      <c r="BH34" t="s">
        <v>220</v>
      </c>
      <c r="BI34" t="s">
        <v>206</v>
      </c>
      <c r="BJ34" t="s">
        <v>233</v>
      </c>
      <c r="BK34" t="s">
        <v>234</v>
      </c>
      <c r="BO34" t="s">
        <v>223</v>
      </c>
      <c r="BP34" t="s">
        <v>224</v>
      </c>
      <c r="BQ34" t="s">
        <v>225</v>
      </c>
      <c r="BR34" t="s">
        <v>226</v>
      </c>
      <c r="BS34" t="s">
        <v>207</v>
      </c>
      <c r="BT34" t="s">
        <v>227</v>
      </c>
      <c r="BU34" t="s">
        <v>228</v>
      </c>
      <c r="BV34" t="s">
        <v>229</v>
      </c>
      <c r="BW34" t="s">
        <v>209</v>
      </c>
      <c r="BX34" t="s">
        <v>28</v>
      </c>
      <c r="BY34" t="s">
        <v>230</v>
      </c>
      <c r="CC34" t="s">
        <v>168</v>
      </c>
      <c r="CD34" t="s">
        <v>169</v>
      </c>
      <c r="CE34" t="s">
        <v>161</v>
      </c>
      <c r="CF34" t="s">
        <v>146</v>
      </c>
      <c r="CG34" t="s">
        <v>170</v>
      </c>
      <c r="CH34" t="s">
        <v>171</v>
      </c>
      <c r="CI34" t="s">
        <v>172</v>
      </c>
      <c r="CJ34" t="s">
        <v>162</v>
      </c>
      <c r="CK34" t="s">
        <v>159</v>
      </c>
      <c r="CL34" t="s">
        <v>4</v>
      </c>
      <c r="CM34" t="s">
        <v>173</v>
      </c>
      <c r="CQ34" t="s">
        <v>156</v>
      </c>
      <c r="CR34" t="s">
        <v>145</v>
      </c>
      <c r="CS34" t="s">
        <v>21</v>
      </c>
      <c r="CT34" t="s">
        <v>157</v>
      </c>
      <c r="CU34" t="s">
        <v>24</v>
      </c>
      <c r="CV34" t="s">
        <v>39</v>
      </c>
      <c r="CW34" t="s">
        <v>158</v>
      </c>
      <c r="CX34" t="s">
        <v>139</v>
      </c>
      <c r="CY34" t="s">
        <v>96</v>
      </c>
      <c r="CZ34" t="s">
        <v>151</v>
      </c>
      <c r="DA34" t="s">
        <v>159</v>
      </c>
      <c r="DE34" t="s">
        <v>110</v>
      </c>
      <c r="DF34" t="s">
        <v>8</v>
      </c>
      <c r="DG34" t="s">
        <v>2</v>
      </c>
      <c r="DH34" t="s">
        <v>111</v>
      </c>
      <c r="DI34" t="s">
        <v>56</v>
      </c>
      <c r="DJ34" t="s">
        <v>92</v>
      </c>
      <c r="DK34" t="s">
        <v>8</v>
      </c>
      <c r="DL34" t="s">
        <v>112</v>
      </c>
      <c r="DM34" t="s">
        <v>96</v>
      </c>
      <c r="DN34" t="s">
        <v>113</v>
      </c>
      <c r="DO34" t="s">
        <v>114</v>
      </c>
      <c r="DR34" t="s">
        <v>263</v>
      </c>
      <c r="DS34" t="s">
        <v>264</v>
      </c>
      <c r="DT34" t="s">
        <v>249</v>
      </c>
      <c r="DU34" t="s">
        <v>265</v>
      </c>
      <c r="DV34" t="s">
        <v>24</v>
      </c>
      <c r="DW34" t="s">
        <v>266</v>
      </c>
      <c r="DX34" t="s">
        <v>267</v>
      </c>
      <c r="DY34" t="s">
        <v>21</v>
      </c>
      <c r="DZ34" t="s">
        <v>268</v>
      </c>
      <c r="EA34" t="s">
        <v>147</v>
      </c>
      <c r="EB34" t="s">
        <v>149</v>
      </c>
      <c r="EE34" t="s">
        <v>294</v>
      </c>
      <c r="EF34" t="s">
        <v>295</v>
      </c>
      <c r="EG34" t="s">
        <v>296</v>
      </c>
      <c r="EH34" t="s">
        <v>8</v>
      </c>
      <c r="EI34" t="s">
        <v>8</v>
      </c>
      <c r="EJ34" t="s">
        <v>297</v>
      </c>
      <c r="EK34" t="s">
        <v>37</v>
      </c>
      <c r="EL34" t="s">
        <v>163</v>
      </c>
      <c r="EM34" t="s">
        <v>184</v>
      </c>
      <c r="EN34" t="s">
        <v>298</v>
      </c>
      <c r="EO34" t="s">
        <v>299</v>
      </c>
      <c r="ER34" t="s">
        <v>356</v>
      </c>
      <c r="ES34" t="s">
        <v>357</v>
      </c>
      <c r="ET34" t="s">
        <v>8</v>
      </c>
      <c r="EU34" t="s">
        <v>17</v>
      </c>
      <c r="EV34" t="s">
        <v>6</v>
      </c>
      <c r="EW34" t="s">
        <v>42</v>
      </c>
      <c r="EX34" t="s">
        <v>74</v>
      </c>
      <c r="EY34" t="s">
        <v>26</v>
      </c>
      <c r="EZ34" t="s">
        <v>358</v>
      </c>
      <c r="FA34" t="s">
        <v>182</v>
      </c>
      <c r="FB34" t="s">
        <v>290</v>
      </c>
      <c r="FE34" t="s">
        <v>89</v>
      </c>
      <c r="FF34" t="s">
        <v>90</v>
      </c>
      <c r="FG34" t="s">
        <v>2</v>
      </c>
      <c r="FH34" t="s">
        <v>91</v>
      </c>
      <c r="FI34" t="s">
        <v>92</v>
      </c>
      <c r="FJ34" t="s">
        <v>26</v>
      </c>
      <c r="FK34" t="s">
        <v>6</v>
      </c>
      <c r="FL34" t="s">
        <v>74</v>
      </c>
      <c r="FM34" t="s">
        <v>79</v>
      </c>
      <c r="FN34" t="s">
        <v>93</v>
      </c>
      <c r="FO34" t="s">
        <v>94</v>
      </c>
      <c r="FR34" t="s">
        <v>356</v>
      </c>
      <c r="FS34" t="s">
        <v>357</v>
      </c>
      <c r="FT34" t="s">
        <v>8</v>
      </c>
      <c r="FU34" t="s">
        <v>17</v>
      </c>
      <c r="FV34" t="s">
        <v>6</v>
      </c>
      <c r="FW34" t="s">
        <v>42</v>
      </c>
      <c r="FX34" t="s">
        <v>74</v>
      </c>
      <c r="FY34" t="s">
        <v>26</v>
      </c>
      <c r="FZ34" t="s">
        <v>358</v>
      </c>
      <c r="GA34" t="s">
        <v>182</v>
      </c>
      <c r="GB34" t="s">
        <v>290</v>
      </c>
      <c r="GE34" t="s">
        <v>269</v>
      </c>
      <c r="GF34" t="s">
        <v>139</v>
      </c>
      <c r="GG34" t="s">
        <v>270</v>
      </c>
      <c r="GH34" t="s">
        <v>249</v>
      </c>
      <c r="GI34" t="s">
        <v>37</v>
      </c>
      <c r="GJ34" t="s">
        <v>268</v>
      </c>
      <c r="GK34" t="s">
        <v>26</v>
      </c>
      <c r="GL34" t="s">
        <v>20</v>
      </c>
      <c r="GM34" t="s">
        <v>27</v>
      </c>
      <c r="GN34" t="s">
        <v>271</v>
      </c>
      <c r="GO34" t="s">
        <v>62</v>
      </c>
    </row>
    <row r="35" spans="1:197" x14ac:dyDescent="0.25">
      <c r="A35" t="s">
        <v>218</v>
      </c>
      <c r="B35" t="s">
        <v>26</v>
      </c>
      <c r="C35" t="s">
        <v>219</v>
      </c>
      <c r="D35" t="s">
        <v>206</v>
      </c>
      <c r="E35" t="s">
        <v>220</v>
      </c>
      <c r="F35" t="s">
        <v>207</v>
      </c>
      <c r="G35" t="s">
        <v>221</v>
      </c>
      <c r="H35" t="s">
        <v>209</v>
      </c>
      <c r="I35" t="s">
        <v>27</v>
      </c>
      <c r="J35" t="s">
        <v>222</v>
      </c>
      <c r="K35" t="s">
        <v>208</v>
      </c>
      <c r="Y35" t="s">
        <v>355</v>
      </c>
      <c r="Z35" t="s">
        <v>26</v>
      </c>
      <c r="AA35" t="s">
        <v>88</v>
      </c>
      <c r="AB35" t="s">
        <v>344</v>
      </c>
      <c r="AC35" t="s">
        <v>327</v>
      </c>
      <c r="AD35" t="s">
        <v>163</v>
      </c>
      <c r="AE35" t="s">
        <v>8</v>
      </c>
      <c r="AF35" t="s">
        <v>292</v>
      </c>
      <c r="AG35" t="s">
        <v>6</v>
      </c>
      <c r="AH35" t="s">
        <v>28</v>
      </c>
      <c r="AI35" t="s">
        <v>86</v>
      </c>
      <c r="AM35" t="s">
        <v>160</v>
      </c>
      <c r="AN35" t="s">
        <v>161</v>
      </c>
      <c r="AO35" t="s">
        <v>162</v>
      </c>
      <c r="AP35" t="s">
        <v>163</v>
      </c>
      <c r="AQ35" t="s">
        <v>140</v>
      </c>
      <c r="AR35" t="s">
        <v>3</v>
      </c>
      <c r="AS35" t="s">
        <v>164</v>
      </c>
      <c r="AT35" t="s">
        <v>165</v>
      </c>
      <c r="AU35" t="s">
        <v>166</v>
      </c>
      <c r="AV35" t="s">
        <v>167</v>
      </c>
      <c r="AW35" t="s">
        <v>159</v>
      </c>
      <c r="BA35" t="s">
        <v>246</v>
      </c>
      <c r="BB35" t="s">
        <v>4</v>
      </c>
      <c r="BC35" t="s">
        <v>37</v>
      </c>
      <c r="BD35" t="s">
        <v>179</v>
      </c>
      <c r="BE35" t="s">
        <v>247</v>
      </c>
      <c r="BF35" t="s">
        <v>105</v>
      </c>
      <c r="BG35" t="s">
        <v>126</v>
      </c>
      <c r="BH35" t="s">
        <v>149</v>
      </c>
      <c r="BI35" t="s">
        <v>109</v>
      </c>
      <c r="BJ35" t="s">
        <v>170</v>
      </c>
      <c r="BK35" t="s">
        <v>47</v>
      </c>
      <c r="BO35" t="s">
        <v>231</v>
      </c>
      <c r="BP35" t="s">
        <v>139</v>
      </c>
      <c r="BQ35" t="s">
        <v>224</v>
      </c>
      <c r="BR35" t="s">
        <v>207</v>
      </c>
      <c r="BS35" t="s">
        <v>225</v>
      </c>
      <c r="BT35" t="s">
        <v>232</v>
      </c>
      <c r="BU35" t="s">
        <v>5</v>
      </c>
      <c r="BV35" t="s">
        <v>220</v>
      </c>
      <c r="BW35" t="s">
        <v>206</v>
      </c>
      <c r="BX35" t="s">
        <v>233</v>
      </c>
      <c r="BY35" t="s">
        <v>234</v>
      </c>
      <c r="CC35" t="s">
        <v>174</v>
      </c>
      <c r="CD35" t="s">
        <v>37</v>
      </c>
      <c r="CE35" t="s">
        <v>147</v>
      </c>
      <c r="CF35" t="s">
        <v>175</v>
      </c>
      <c r="CG35" t="s">
        <v>149</v>
      </c>
      <c r="CH35" t="s">
        <v>170</v>
      </c>
      <c r="CI35" t="s">
        <v>176</v>
      </c>
      <c r="CJ35" t="s">
        <v>177</v>
      </c>
      <c r="CK35" t="s">
        <v>178</v>
      </c>
      <c r="CL35" t="s">
        <v>179</v>
      </c>
      <c r="CM35" t="s">
        <v>180</v>
      </c>
      <c r="CQ35" t="s">
        <v>160</v>
      </c>
      <c r="CR35" t="s">
        <v>161</v>
      </c>
      <c r="CS35" t="s">
        <v>162</v>
      </c>
      <c r="CT35" t="s">
        <v>163</v>
      </c>
      <c r="CU35" t="s">
        <v>140</v>
      </c>
      <c r="CV35" t="s">
        <v>3</v>
      </c>
      <c r="CW35" t="s">
        <v>164</v>
      </c>
      <c r="CX35" t="s">
        <v>165</v>
      </c>
      <c r="CY35" t="s">
        <v>166</v>
      </c>
      <c r="CZ35" t="s">
        <v>167</v>
      </c>
      <c r="DA35" t="s">
        <v>159</v>
      </c>
      <c r="DE35" t="s">
        <v>144</v>
      </c>
      <c r="DF35" t="s">
        <v>145</v>
      </c>
      <c r="DG35" t="s">
        <v>37</v>
      </c>
      <c r="DH35" t="s">
        <v>37</v>
      </c>
      <c r="DI35" t="s">
        <v>125</v>
      </c>
      <c r="DJ35" t="s">
        <v>140</v>
      </c>
      <c r="DK35" t="s">
        <v>146</v>
      </c>
      <c r="DL35" t="s">
        <v>4</v>
      </c>
      <c r="DM35" t="s">
        <v>147</v>
      </c>
      <c r="DN35" t="s">
        <v>148</v>
      </c>
      <c r="DO35" t="s">
        <v>149</v>
      </c>
      <c r="DR35" t="s">
        <v>278</v>
      </c>
      <c r="DS35" t="s">
        <v>279</v>
      </c>
      <c r="DT35" t="s">
        <v>37</v>
      </c>
      <c r="DU35" t="s">
        <v>8</v>
      </c>
      <c r="DV35" t="s">
        <v>280</v>
      </c>
      <c r="DW35" t="s">
        <v>281</v>
      </c>
      <c r="DX35" t="s">
        <v>96</v>
      </c>
      <c r="DY35" t="s">
        <v>282</v>
      </c>
      <c r="DZ35" t="s">
        <v>148</v>
      </c>
      <c r="EA35" t="s">
        <v>188</v>
      </c>
      <c r="EB35" t="s">
        <v>283</v>
      </c>
      <c r="EE35" t="s">
        <v>310</v>
      </c>
      <c r="EF35" t="s">
        <v>311</v>
      </c>
      <c r="EG35" t="s">
        <v>312</v>
      </c>
      <c r="EH35" t="s">
        <v>245</v>
      </c>
      <c r="EI35" t="s">
        <v>96</v>
      </c>
      <c r="EJ35" t="s">
        <v>313</v>
      </c>
      <c r="EK35" t="s">
        <v>314</v>
      </c>
      <c r="EL35" t="s">
        <v>315</v>
      </c>
      <c r="EM35" t="s">
        <v>316</v>
      </c>
      <c r="EN35" t="s">
        <v>217</v>
      </c>
      <c r="EO35" t="s">
        <v>125</v>
      </c>
      <c r="ER35" t="s">
        <v>371</v>
      </c>
      <c r="ES35" t="s">
        <v>132</v>
      </c>
      <c r="ET35" t="s">
        <v>6</v>
      </c>
      <c r="EU35" t="s">
        <v>344</v>
      </c>
      <c r="EV35" t="s">
        <v>372</v>
      </c>
      <c r="EW35" t="s">
        <v>55</v>
      </c>
      <c r="EX35" t="s">
        <v>64</v>
      </c>
      <c r="EY35" t="s">
        <v>373</v>
      </c>
      <c r="EZ35" t="s">
        <v>26</v>
      </c>
      <c r="FA35" t="s">
        <v>374</v>
      </c>
      <c r="FB35" t="s">
        <v>188</v>
      </c>
      <c r="FE35" t="s">
        <v>356</v>
      </c>
      <c r="FF35" t="s">
        <v>357</v>
      </c>
      <c r="FG35" t="s">
        <v>8</v>
      </c>
      <c r="FH35" t="s">
        <v>17</v>
      </c>
      <c r="FI35" t="s">
        <v>6</v>
      </c>
      <c r="FJ35" t="s">
        <v>42</v>
      </c>
      <c r="FK35" t="s">
        <v>74</v>
      </c>
      <c r="FL35" t="s">
        <v>26</v>
      </c>
      <c r="FM35" t="s">
        <v>358</v>
      </c>
      <c r="FN35" t="s">
        <v>182</v>
      </c>
      <c r="FO35" t="s">
        <v>290</v>
      </c>
      <c r="FR35" t="s">
        <v>371</v>
      </c>
      <c r="FS35" t="s">
        <v>132</v>
      </c>
      <c r="FT35" t="s">
        <v>6</v>
      </c>
      <c r="FU35" t="s">
        <v>344</v>
      </c>
      <c r="FV35" t="s">
        <v>372</v>
      </c>
      <c r="FW35" t="s">
        <v>55</v>
      </c>
      <c r="FX35" t="s">
        <v>64</v>
      </c>
      <c r="FY35" t="s">
        <v>373</v>
      </c>
      <c r="FZ35" t="s">
        <v>26</v>
      </c>
      <c r="GA35" t="s">
        <v>374</v>
      </c>
      <c r="GB35" t="s">
        <v>188</v>
      </c>
      <c r="GE35" t="s">
        <v>33</v>
      </c>
      <c r="GF35" t="s">
        <v>34</v>
      </c>
      <c r="GG35" t="s">
        <v>35</v>
      </c>
      <c r="GH35" t="s">
        <v>36</v>
      </c>
      <c r="GI35" t="s">
        <v>23</v>
      </c>
      <c r="GJ35" t="s">
        <v>37</v>
      </c>
      <c r="GK35" t="s">
        <v>26</v>
      </c>
      <c r="GL35" t="s">
        <v>38</v>
      </c>
      <c r="GM35" t="s">
        <v>27</v>
      </c>
      <c r="GN35" t="s">
        <v>39</v>
      </c>
      <c r="GO35" t="s">
        <v>40</v>
      </c>
    </row>
    <row r="36" spans="1:197" x14ac:dyDescent="0.25">
      <c r="A36" t="s">
        <v>223</v>
      </c>
      <c r="B36" t="s">
        <v>224</v>
      </c>
      <c r="C36" t="s">
        <v>225</v>
      </c>
      <c r="D36" t="s">
        <v>226</v>
      </c>
      <c r="E36" t="s">
        <v>207</v>
      </c>
      <c r="F36" t="s">
        <v>227</v>
      </c>
      <c r="G36" t="s">
        <v>228</v>
      </c>
      <c r="H36" t="s">
        <v>229</v>
      </c>
      <c r="I36" t="s">
        <v>209</v>
      </c>
      <c r="J36" t="s">
        <v>28</v>
      </c>
      <c r="K36" t="s">
        <v>230</v>
      </c>
      <c r="Y36" t="s">
        <v>356</v>
      </c>
      <c r="Z36" t="s">
        <v>357</v>
      </c>
      <c r="AA36" t="s">
        <v>8</v>
      </c>
      <c r="AB36" t="s">
        <v>17</v>
      </c>
      <c r="AC36" t="s">
        <v>6</v>
      </c>
      <c r="AD36" t="s">
        <v>42</v>
      </c>
      <c r="AE36" t="s">
        <v>74</v>
      </c>
      <c r="AF36" t="s">
        <v>26</v>
      </c>
      <c r="AG36" t="s">
        <v>358</v>
      </c>
      <c r="AH36" t="s">
        <v>182</v>
      </c>
      <c r="AI36" t="s">
        <v>290</v>
      </c>
      <c r="AM36" t="s">
        <v>168</v>
      </c>
      <c r="AN36" t="s">
        <v>169</v>
      </c>
      <c r="AO36" t="s">
        <v>161</v>
      </c>
      <c r="AP36" t="s">
        <v>146</v>
      </c>
      <c r="AQ36" t="s">
        <v>170</v>
      </c>
      <c r="AR36" t="s">
        <v>171</v>
      </c>
      <c r="AS36" t="s">
        <v>172</v>
      </c>
      <c r="AT36" t="s">
        <v>162</v>
      </c>
      <c r="AU36" t="s">
        <v>159</v>
      </c>
      <c r="AV36" t="s">
        <v>4</v>
      </c>
      <c r="AW36" t="s">
        <v>173</v>
      </c>
      <c r="BA36" t="s">
        <v>263</v>
      </c>
      <c r="BB36" t="s">
        <v>264</v>
      </c>
      <c r="BC36" t="s">
        <v>249</v>
      </c>
      <c r="BD36" t="s">
        <v>265</v>
      </c>
      <c r="BE36" t="s">
        <v>24</v>
      </c>
      <c r="BF36" t="s">
        <v>266</v>
      </c>
      <c r="BG36" t="s">
        <v>267</v>
      </c>
      <c r="BH36" t="s">
        <v>21</v>
      </c>
      <c r="BI36" t="s">
        <v>268</v>
      </c>
      <c r="BJ36" t="s">
        <v>147</v>
      </c>
      <c r="BK36" t="s">
        <v>149</v>
      </c>
      <c r="BO36" t="s">
        <v>246</v>
      </c>
      <c r="BP36" t="s">
        <v>4</v>
      </c>
      <c r="BQ36" t="s">
        <v>37</v>
      </c>
      <c r="BR36" t="s">
        <v>179</v>
      </c>
      <c r="BS36" t="s">
        <v>247</v>
      </c>
      <c r="BT36" t="s">
        <v>105</v>
      </c>
      <c r="BU36" t="s">
        <v>126</v>
      </c>
      <c r="BV36" t="s">
        <v>149</v>
      </c>
      <c r="BW36" t="s">
        <v>109</v>
      </c>
      <c r="BX36" t="s">
        <v>170</v>
      </c>
      <c r="BY36" t="s">
        <v>47</v>
      </c>
      <c r="CC36" t="s">
        <v>189</v>
      </c>
      <c r="CD36" t="s">
        <v>190</v>
      </c>
      <c r="CE36" t="s">
        <v>191</v>
      </c>
      <c r="CF36" t="s">
        <v>187</v>
      </c>
      <c r="CG36" t="s">
        <v>192</v>
      </c>
      <c r="CH36" t="s">
        <v>193</v>
      </c>
      <c r="CI36" t="s">
        <v>31</v>
      </c>
      <c r="CJ36" t="s">
        <v>183</v>
      </c>
      <c r="CK36" t="s">
        <v>36</v>
      </c>
      <c r="CL36" t="s">
        <v>117</v>
      </c>
      <c r="CM36" t="s">
        <v>194</v>
      </c>
      <c r="CQ36" t="s">
        <v>168</v>
      </c>
      <c r="CR36" t="s">
        <v>169</v>
      </c>
      <c r="CS36" t="s">
        <v>161</v>
      </c>
      <c r="CT36" t="s">
        <v>146</v>
      </c>
      <c r="CU36" t="s">
        <v>170</v>
      </c>
      <c r="CV36" t="s">
        <v>171</v>
      </c>
      <c r="CW36" t="s">
        <v>172</v>
      </c>
      <c r="CX36" t="s">
        <v>162</v>
      </c>
      <c r="CY36" t="s">
        <v>159</v>
      </c>
      <c r="CZ36" t="s">
        <v>4</v>
      </c>
      <c r="DA36" t="s">
        <v>173</v>
      </c>
      <c r="DE36" t="s">
        <v>160</v>
      </c>
      <c r="DF36" t="s">
        <v>161</v>
      </c>
      <c r="DG36" t="s">
        <v>162</v>
      </c>
      <c r="DH36" t="s">
        <v>163</v>
      </c>
      <c r="DI36" t="s">
        <v>140</v>
      </c>
      <c r="DJ36" t="s">
        <v>3</v>
      </c>
      <c r="DK36" t="s">
        <v>164</v>
      </c>
      <c r="DL36" t="s">
        <v>165</v>
      </c>
      <c r="DM36" t="s">
        <v>166</v>
      </c>
      <c r="DN36" t="s">
        <v>167</v>
      </c>
      <c r="DO36" t="s">
        <v>159</v>
      </c>
      <c r="DR36" t="s">
        <v>294</v>
      </c>
      <c r="DS36" t="s">
        <v>295</v>
      </c>
      <c r="DT36" t="s">
        <v>296</v>
      </c>
      <c r="DU36" t="s">
        <v>8</v>
      </c>
      <c r="DV36" t="s">
        <v>8</v>
      </c>
      <c r="DW36" t="s">
        <v>297</v>
      </c>
      <c r="DX36" t="s">
        <v>37</v>
      </c>
      <c r="DY36" t="s">
        <v>163</v>
      </c>
      <c r="DZ36" t="s">
        <v>184</v>
      </c>
      <c r="EA36" t="s">
        <v>298</v>
      </c>
      <c r="EB36" t="s">
        <v>299</v>
      </c>
      <c r="EE36" t="s">
        <v>307</v>
      </c>
      <c r="EF36" t="s">
        <v>301</v>
      </c>
      <c r="EG36" t="s">
        <v>26</v>
      </c>
      <c r="EH36" t="s">
        <v>127</v>
      </c>
      <c r="EI36" t="s">
        <v>6</v>
      </c>
      <c r="EJ36" t="s">
        <v>139</v>
      </c>
      <c r="EK36" t="s">
        <v>308</v>
      </c>
      <c r="EL36" t="s">
        <v>51</v>
      </c>
      <c r="EM36" t="s">
        <v>62</v>
      </c>
      <c r="EN36" t="s">
        <v>309</v>
      </c>
      <c r="EO36" t="s">
        <v>46</v>
      </c>
      <c r="ER36" t="s">
        <v>269</v>
      </c>
      <c r="ES36" t="s">
        <v>139</v>
      </c>
      <c r="ET36" t="s">
        <v>270</v>
      </c>
      <c r="EU36" t="s">
        <v>249</v>
      </c>
      <c r="EV36" t="s">
        <v>37</v>
      </c>
      <c r="EW36" t="s">
        <v>268</v>
      </c>
      <c r="EX36" t="s">
        <v>26</v>
      </c>
      <c r="EY36" t="s">
        <v>20</v>
      </c>
      <c r="EZ36" t="s">
        <v>27</v>
      </c>
      <c r="FA36" t="s">
        <v>271</v>
      </c>
      <c r="FB36" t="s">
        <v>62</v>
      </c>
      <c r="FE36" t="s">
        <v>371</v>
      </c>
      <c r="FF36" t="s">
        <v>132</v>
      </c>
      <c r="FG36" t="s">
        <v>6</v>
      </c>
      <c r="FH36" t="s">
        <v>344</v>
      </c>
      <c r="FI36" t="s">
        <v>372</v>
      </c>
      <c r="FJ36" t="s">
        <v>55</v>
      </c>
      <c r="FK36" t="s">
        <v>64</v>
      </c>
      <c r="FL36" t="s">
        <v>373</v>
      </c>
      <c r="FM36" t="s">
        <v>26</v>
      </c>
      <c r="FN36" t="s">
        <v>374</v>
      </c>
      <c r="FO36" t="s">
        <v>188</v>
      </c>
      <c r="FR36" t="s">
        <v>269</v>
      </c>
      <c r="FS36" t="s">
        <v>139</v>
      </c>
      <c r="FT36" t="s">
        <v>270</v>
      </c>
      <c r="FU36" t="s">
        <v>249</v>
      </c>
      <c r="FV36" t="s">
        <v>37</v>
      </c>
      <c r="FW36" t="s">
        <v>268</v>
      </c>
      <c r="FX36" t="s">
        <v>26</v>
      </c>
      <c r="FY36" t="s">
        <v>20</v>
      </c>
      <c r="FZ36" t="s">
        <v>27</v>
      </c>
      <c r="GA36" t="s">
        <v>271</v>
      </c>
      <c r="GB36" t="s">
        <v>62</v>
      </c>
      <c r="GE36" t="s">
        <v>218</v>
      </c>
      <c r="GF36" t="s">
        <v>26</v>
      </c>
      <c r="GG36" t="s">
        <v>219</v>
      </c>
      <c r="GH36" t="s">
        <v>206</v>
      </c>
      <c r="GI36" t="s">
        <v>220</v>
      </c>
      <c r="GJ36" t="s">
        <v>207</v>
      </c>
      <c r="GK36" t="s">
        <v>221</v>
      </c>
      <c r="GL36" t="s">
        <v>209</v>
      </c>
      <c r="GM36" t="s">
        <v>27</v>
      </c>
      <c r="GN36" t="s">
        <v>222</v>
      </c>
      <c r="GO36" t="s">
        <v>208</v>
      </c>
    </row>
    <row r="37" spans="1:197" x14ac:dyDescent="0.25">
      <c r="A37" t="s">
        <v>231</v>
      </c>
      <c r="B37" t="s">
        <v>139</v>
      </c>
      <c r="C37" t="s">
        <v>224</v>
      </c>
      <c r="D37" t="s">
        <v>207</v>
      </c>
      <c r="E37" t="s">
        <v>225</v>
      </c>
      <c r="F37" t="s">
        <v>232</v>
      </c>
      <c r="G37" t="s">
        <v>5</v>
      </c>
      <c r="H37" t="s">
        <v>220</v>
      </c>
      <c r="I37" t="s">
        <v>206</v>
      </c>
      <c r="J37" t="s">
        <v>233</v>
      </c>
      <c r="K37" t="s">
        <v>234</v>
      </c>
      <c r="Y37" t="s">
        <v>363</v>
      </c>
      <c r="Z37" t="s">
        <v>364</v>
      </c>
      <c r="AA37" t="s">
        <v>6</v>
      </c>
      <c r="AB37" t="s">
        <v>236</v>
      </c>
      <c r="AC37" t="s">
        <v>139</v>
      </c>
      <c r="AD37" t="s">
        <v>121</v>
      </c>
      <c r="AE37" t="s">
        <v>26</v>
      </c>
      <c r="AF37" t="s">
        <v>327</v>
      </c>
      <c r="AG37" t="s">
        <v>27</v>
      </c>
      <c r="AH37" t="s">
        <v>365</v>
      </c>
      <c r="AI37" t="s">
        <v>56</v>
      </c>
      <c r="AM37" t="s">
        <v>174</v>
      </c>
      <c r="AN37" t="s">
        <v>37</v>
      </c>
      <c r="AO37" t="s">
        <v>147</v>
      </c>
      <c r="AP37" t="s">
        <v>175</v>
      </c>
      <c r="AQ37" t="s">
        <v>149</v>
      </c>
      <c r="AR37" t="s">
        <v>170</v>
      </c>
      <c r="AS37" t="s">
        <v>176</v>
      </c>
      <c r="AT37" t="s">
        <v>177</v>
      </c>
      <c r="AU37" t="s">
        <v>178</v>
      </c>
      <c r="AV37" t="s">
        <v>179</v>
      </c>
      <c r="AW37" t="s">
        <v>180</v>
      </c>
      <c r="BA37" t="s">
        <v>278</v>
      </c>
      <c r="BB37" t="s">
        <v>279</v>
      </c>
      <c r="BC37" t="s">
        <v>37</v>
      </c>
      <c r="BD37" t="s">
        <v>8</v>
      </c>
      <c r="BE37" t="s">
        <v>280</v>
      </c>
      <c r="BF37" t="s">
        <v>281</v>
      </c>
      <c r="BG37" t="s">
        <v>96</v>
      </c>
      <c r="BH37" t="s">
        <v>282</v>
      </c>
      <c r="BI37" t="s">
        <v>148</v>
      </c>
      <c r="BJ37" t="s">
        <v>188</v>
      </c>
      <c r="BK37" t="s">
        <v>283</v>
      </c>
      <c r="BO37" t="s">
        <v>263</v>
      </c>
      <c r="BP37" t="s">
        <v>264</v>
      </c>
      <c r="BQ37" t="s">
        <v>249</v>
      </c>
      <c r="BR37" t="s">
        <v>265</v>
      </c>
      <c r="BS37" t="s">
        <v>24</v>
      </c>
      <c r="BT37" t="s">
        <v>266</v>
      </c>
      <c r="BU37" t="s">
        <v>267</v>
      </c>
      <c r="BV37" t="s">
        <v>21</v>
      </c>
      <c r="BW37" t="s">
        <v>268</v>
      </c>
      <c r="BX37" t="s">
        <v>147</v>
      </c>
      <c r="BY37" t="s">
        <v>149</v>
      </c>
      <c r="CC37" t="s">
        <v>195</v>
      </c>
      <c r="CD37" t="s">
        <v>196</v>
      </c>
      <c r="CE37" t="s">
        <v>197</v>
      </c>
      <c r="CF37" t="s">
        <v>187</v>
      </c>
      <c r="CG37" t="s">
        <v>173</v>
      </c>
      <c r="CH37" t="s">
        <v>198</v>
      </c>
      <c r="CI37" t="s">
        <v>167</v>
      </c>
      <c r="CJ37" t="s">
        <v>64</v>
      </c>
      <c r="CK37" t="s">
        <v>199</v>
      </c>
      <c r="CL37" t="s">
        <v>200</v>
      </c>
      <c r="CM37" t="s">
        <v>201</v>
      </c>
      <c r="CQ37" t="s">
        <v>174</v>
      </c>
      <c r="CR37" t="s">
        <v>37</v>
      </c>
      <c r="CS37" t="s">
        <v>147</v>
      </c>
      <c r="CT37" t="s">
        <v>175</v>
      </c>
      <c r="CU37" t="s">
        <v>149</v>
      </c>
      <c r="CV37" t="s">
        <v>170</v>
      </c>
      <c r="CW37" t="s">
        <v>176</v>
      </c>
      <c r="CX37" t="s">
        <v>177</v>
      </c>
      <c r="CY37" t="s">
        <v>178</v>
      </c>
      <c r="CZ37" t="s">
        <v>179</v>
      </c>
      <c r="DA37" t="s">
        <v>180</v>
      </c>
      <c r="DE37" t="s">
        <v>168</v>
      </c>
      <c r="DF37" t="s">
        <v>169</v>
      </c>
      <c r="DG37" t="s">
        <v>161</v>
      </c>
      <c r="DH37" t="s">
        <v>146</v>
      </c>
      <c r="DI37" t="s">
        <v>170</v>
      </c>
      <c r="DJ37" t="s">
        <v>171</v>
      </c>
      <c r="DK37" t="s">
        <v>172</v>
      </c>
      <c r="DL37" t="s">
        <v>162</v>
      </c>
      <c r="DM37" t="s">
        <v>159</v>
      </c>
      <c r="DN37" t="s">
        <v>4</v>
      </c>
      <c r="DO37" t="s">
        <v>173</v>
      </c>
      <c r="DR37" t="s">
        <v>310</v>
      </c>
      <c r="DS37" t="s">
        <v>311</v>
      </c>
      <c r="DT37" t="s">
        <v>312</v>
      </c>
      <c r="DU37" t="s">
        <v>245</v>
      </c>
      <c r="DV37" t="s">
        <v>96</v>
      </c>
      <c r="DW37" t="s">
        <v>313</v>
      </c>
      <c r="DX37" t="s">
        <v>314</v>
      </c>
      <c r="DY37" t="s">
        <v>315</v>
      </c>
      <c r="DZ37" t="s">
        <v>316</v>
      </c>
      <c r="EA37" t="s">
        <v>217</v>
      </c>
      <c r="EB37" t="s">
        <v>125</v>
      </c>
      <c r="EE37" t="s">
        <v>71</v>
      </c>
      <c r="EF37" t="s">
        <v>72</v>
      </c>
      <c r="EG37" t="s">
        <v>37</v>
      </c>
      <c r="EH37" t="s">
        <v>26</v>
      </c>
      <c r="EI37" t="s">
        <v>73</v>
      </c>
      <c r="EJ37" t="s">
        <v>43</v>
      </c>
      <c r="EK37" t="s">
        <v>60</v>
      </c>
      <c r="EL37" t="s">
        <v>6</v>
      </c>
      <c r="EM37" t="s">
        <v>74</v>
      </c>
      <c r="EN37" t="s">
        <v>75</v>
      </c>
      <c r="EO37" t="s">
        <v>76</v>
      </c>
      <c r="ER37" t="s">
        <v>33</v>
      </c>
      <c r="ES37" t="s">
        <v>34</v>
      </c>
      <c r="ET37" t="s">
        <v>35</v>
      </c>
      <c r="EU37" t="s">
        <v>36</v>
      </c>
      <c r="EV37" t="s">
        <v>23</v>
      </c>
      <c r="EW37" t="s">
        <v>37</v>
      </c>
      <c r="EX37" t="s">
        <v>26</v>
      </c>
      <c r="EY37" t="s">
        <v>38</v>
      </c>
      <c r="EZ37" t="s">
        <v>27</v>
      </c>
      <c r="FA37" t="s">
        <v>39</v>
      </c>
      <c r="FB37" t="s">
        <v>40</v>
      </c>
      <c r="FE37" t="s">
        <v>269</v>
      </c>
      <c r="FF37" t="s">
        <v>139</v>
      </c>
      <c r="FG37" t="s">
        <v>270</v>
      </c>
      <c r="FH37" t="s">
        <v>249</v>
      </c>
      <c r="FI37" t="s">
        <v>37</v>
      </c>
      <c r="FJ37" t="s">
        <v>268</v>
      </c>
      <c r="FK37" t="s">
        <v>26</v>
      </c>
      <c r="FL37" t="s">
        <v>20</v>
      </c>
      <c r="FM37" t="s">
        <v>27</v>
      </c>
      <c r="FN37" t="s">
        <v>271</v>
      </c>
      <c r="FO37" t="s">
        <v>62</v>
      </c>
      <c r="FR37" t="s">
        <v>33</v>
      </c>
      <c r="FS37" t="s">
        <v>34</v>
      </c>
      <c r="FT37" t="s">
        <v>35</v>
      </c>
      <c r="FU37" t="s">
        <v>36</v>
      </c>
      <c r="FV37" t="s">
        <v>23</v>
      </c>
      <c r="FW37" t="s">
        <v>37</v>
      </c>
      <c r="FX37" t="s">
        <v>26</v>
      </c>
      <c r="FY37" t="s">
        <v>38</v>
      </c>
      <c r="FZ37" t="s">
        <v>27</v>
      </c>
      <c r="GA37" t="s">
        <v>39</v>
      </c>
      <c r="GB37" t="s">
        <v>40</v>
      </c>
      <c r="GE37" t="s">
        <v>300</v>
      </c>
      <c r="GF37" t="s">
        <v>26</v>
      </c>
      <c r="GG37" t="s">
        <v>301</v>
      </c>
      <c r="GH37" t="s">
        <v>3</v>
      </c>
      <c r="GI37" t="s">
        <v>302</v>
      </c>
      <c r="GJ37" t="s">
        <v>303</v>
      </c>
      <c r="GK37" t="s">
        <v>27</v>
      </c>
      <c r="GL37" t="s">
        <v>55</v>
      </c>
      <c r="GM37" t="s">
        <v>304</v>
      </c>
      <c r="GN37" t="s">
        <v>305</v>
      </c>
      <c r="GO37" t="s">
        <v>306</v>
      </c>
    </row>
    <row r="38" spans="1:197" x14ac:dyDescent="0.25">
      <c r="A38" t="s">
        <v>235</v>
      </c>
      <c r="B38" t="s">
        <v>1</v>
      </c>
      <c r="C38" t="s">
        <v>132</v>
      </c>
      <c r="D38" t="s">
        <v>52</v>
      </c>
      <c r="E38" t="s">
        <v>236</v>
      </c>
      <c r="F38" t="s">
        <v>26</v>
      </c>
      <c r="G38" t="s">
        <v>237</v>
      </c>
      <c r="H38" t="s">
        <v>210</v>
      </c>
      <c r="I38" t="s">
        <v>27</v>
      </c>
      <c r="J38" t="s">
        <v>121</v>
      </c>
      <c r="K38" t="s">
        <v>207</v>
      </c>
      <c r="Y38" t="s">
        <v>366</v>
      </c>
      <c r="Z38" t="s">
        <v>26</v>
      </c>
      <c r="AA38" t="s">
        <v>132</v>
      </c>
      <c r="AB38" t="s">
        <v>6</v>
      </c>
      <c r="AC38" t="s">
        <v>344</v>
      </c>
      <c r="AD38" t="s">
        <v>39</v>
      </c>
      <c r="AE38" t="s">
        <v>96</v>
      </c>
      <c r="AF38" t="s">
        <v>130</v>
      </c>
      <c r="AG38" t="s">
        <v>27</v>
      </c>
      <c r="AH38" t="s">
        <v>42</v>
      </c>
      <c r="AI38" t="s">
        <v>197</v>
      </c>
      <c r="AM38" t="s">
        <v>189</v>
      </c>
      <c r="AN38" t="s">
        <v>190</v>
      </c>
      <c r="AO38" t="s">
        <v>191</v>
      </c>
      <c r="AP38" t="s">
        <v>187</v>
      </c>
      <c r="AQ38" t="s">
        <v>192</v>
      </c>
      <c r="AR38" t="s">
        <v>193</v>
      </c>
      <c r="AS38" t="s">
        <v>31</v>
      </c>
      <c r="AT38" t="s">
        <v>183</v>
      </c>
      <c r="AU38" t="s">
        <v>36</v>
      </c>
      <c r="AV38" t="s">
        <v>117</v>
      </c>
      <c r="AW38" t="s">
        <v>194</v>
      </c>
      <c r="BA38" t="s">
        <v>294</v>
      </c>
      <c r="BB38" t="s">
        <v>295</v>
      </c>
      <c r="BC38" t="s">
        <v>296</v>
      </c>
      <c r="BD38" t="s">
        <v>8</v>
      </c>
      <c r="BE38" t="s">
        <v>8</v>
      </c>
      <c r="BF38" t="s">
        <v>297</v>
      </c>
      <c r="BG38" t="s">
        <v>37</v>
      </c>
      <c r="BH38" t="s">
        <v>163</v>
      </c>
      <c r="BI38" t="s">
        <v>184</v>
      </c>
      <c r="BJ38" t="s">
        <v>298</v>
      </c>
      <c r="BK38" t="s">
        <v>299</v>
      </c>
      <c r="BO38" t="s">
        <v>278</v>
      </c>
      <c r="BP38" t="s">
        <v>279</v>
      </c>
      <c r="BQ38" t="s">
        <v>37</v>
      </c>
      <c r="BR38" t="s">
        <v>8</v>
      </c>
      <c r="BS38" t="s">
        <v>280</v>
      </c>
      <c r="BT38" t="s">
        <v>281</v>
      </c>
      <c r="BU38" t="s">
        <v>96</v>
      </c>
      <c r="BV38" t="s">
        <v>282</v>
      </c>
      <c r="BW38" t="s">
        <v>148</v>
      </c>
      <c r="BX38" t="s">
        <v>188</v>
      </c>
      <c r="BY38" t="s">
        <v>283</v>
      </c>
      <c r="CC38" t="s">
        <v>391</v>
      </c>
      <c r="CD38" t="s">
        <v>211</v>
      </c>
      <c r="CE38" t="s">
        <v>210</v>
      </c>
      <c r="CF38" t="s">
        <v>207</v>
      </c>
      <c r="CG38" t="s">
        <v>212</v>
      </c>
      <c r="CH38" t="s">
        <v>142</v>
      </c>
      <c r="CI38" t="s">
        <v>213</v>
      </c>
      <c r="CJ38" t="s">
        <v>214</v>
      </c>
      <c r="CK38" t="s">
        <v>215</v>
      </c>
      <c r="CL38" t="s">
        <v>216</v>
      </c>
      <c r="CM38" t="s">
        <v>217</v>
      </c>
      <c r="CQ38" t="s">
        <v>189</v>
      </c>
      <c r="CR38" t="s">
        <v>190</v>
      </c>
      <c r="CS38" t="s">
        <v>191</v>
      </c>
      <c r="CT38" t="s">
        <v>187</v>
      </c>
      <c r="CU38" t="s">
        <v>192</v>
      </c>
      <c r="CV38" t="s">
        <v>193</v>
      </c>
      <c r="CW38" t="s">
        <v>31</v>
      </c>
      <c r="CX38" t="s">
        <v>183</v>
      </c>
      <c r="CY38" t="s">
        <v>36</v>
      </c>
      <c r="CZ38" t="s">
        <v>117</v>
      </c>
      <c r="DA38" t="s">
        <v>194</v>
      </c>
      <c r="DE38" t="s">
        <v>174</v>
      </c>
      <c r="DF38" t="s">
        <v>37</v>
      </c>
      <c r="DG38" t="s">
        <v>147</v>
      </c>
      <c r="DH38" t="s">
        <v>175</v>
      </c>
      <c r="DI38" t="s">
        <v>149</v>
      </c>
      <c r="DJ38" t="s">
        <v>170</v>
      </c>
      <c r="DK38" t="s">
        <v>176</v>
      </c>
      <c r="DL38" t="s">
        <v>177</v>
      </c>
      <c r="DM38" t="s">
        <v>178</v>
      </c>
      <c r="DN38" t="s">
        <v>179</v>
      </c>
      <c r="DO38" t="s">
        <v>180</v>
      </c>
      <c r="DR38" t="s">
        <v>307</v>
      </c>
      <c r="DS38" t="s">
        <v>301</v>
      </c>
      <c r="DT38" t="s">
        <v>26</v>
      </c>
      <c r="DU38" t="s">
        <v>127</v>
      </c>
      <c r="DV38" t="s">
        <v>6</v>
      </c>
      <c r="DW38" t="s">
        <v>139</v>
      </c>
      <c r="DX38" t="s">
        <v>308</v>
      </c>
      <c r="DY38" t="s">
        <v>51</v>
      </c>
      <c r="DZ38" t="s">
        <v>62</v>
      </c>
      <c r="EA38" t="s">
        <v>309</v>
      </c>
      <c r="EB38" t="s">
        <v>46</v>
      </c>
      <c r="EE38" t="s">
        <v>89</v>
      </c>
      <c r="EF38" t="s">
        <v>90</v>
      </c>
      <c r="EG38" t="s">
        <v>2</v>
      </c>
      <c r="EH38" t="s">
        <v>91</v>
      </c>
      <c r="EI38" t="s">
        <v>92</v>
      </c>
      <c r="EJ38" t="s">
        <v>26</v>
      </c>
      <c r="EK38" t="s">
        <v>6</v>
      </c>
      <c r="EL38" t="s">
        <v>74</v>
      </c>
      <c r="EM38" t="s">
        <v>79</v>
      </c>
      <c r="EN38" t="s">
        <v>93</v>
      </c>
      <c r="EO38" t="s">
        <v>94</v>
      </c>
      <c r="ER38" t="s">
        <v>104</v>
      </c>
      <c r="ES38" t="s">
        <v>26</v>
      </c>
      <c r="ET38" t="s">
        <v>54</v>
      </c>
      <c r="EU38" t="s">
        <v>105</v>
      </c>
      <c r="EV38" t="s">
        <v>106</v>
      </c>
      <c r="EW38" t="s">
        <v>107</v>
      </c>
      <c r="EX38" t="s">
        <v>8</v>
      </c>
      <c r="EY38" t="s">
        <v>73</v>
      </c>
      <c r="EZ38" t="s">
        <v>27</v>
      </c>
      <c r="FA38" t="s">
        <v>108</v>
      </c>
      <c r="FB38" t="s">
        <v>109</v>
      </c>
      <c r="FE38" t="s">
        <v>33</v>
      </c>
      <c r="FF38" t="s">
        <v>34</v>
      </c>
      <c r="FG38" t="s">
        <v>35</v>
      </c>
      <c r="FH38" t="s">
        <v>36</v>
      </c>
      <c r="FI38" t="s">
        <v>23</v>
      </c>
      <c r="FJ38" t="s">
        <v>37</v>
      </c>
      <c r="FK38" t="s">
        <v>26</v>
      </c>
      <c r="FL38" t="s">
        <v>38</v>
      </c>
      <c r="FM38" t="s">
        <v>27</v>
      </c>
      <c r="FN38" t="s">
        <v>39</v>
      </c>
      <c r="FO38" t="s">
        <v>40</v>
      </c>
      <c r="FR38" t="s">
        <v>104</v>
      </c>
      <c r="FS38" t="s">
        <v>26</v>
      </c>
      <c r="FT38" t="s">
        <v>54</v>
      </c>
      <c r="FU38" t="s">
        <v>105</v>
      </c>
      <c r="FV38" t="s">
        <v>106</v>
      </c>
      <c r="FW38" t="s">
        <v>107</v>
      </c>
      <c r="FX38" t="s">
        <v>8</v>
      </c>
      <c r="FY38" t="s">
        <v>73</v>
      </c>
      <c r="FZ38" t="s">
        <v>27</v>
      </c>
      <c r="GA38" t="s">
        <v>108</v>
      </c>
      <c r="GB38" t="s">
        <v>109</v>
      </c>
      <c r="GE38" t="s">
        <v>317</v>
      </c>
      <c r="GF38" t="s">
        <v>318</v>
      </c>
      <c r="GG38" t="s">
        <v>319</v>
      </c>
      <c r="GH38" t="s">
        <v>282</v>
      </c>
      <c r="GI38" t="s">
        <v>320</v>
      </c>
      <c r="GJ38" t="s">
        <v>279</v>
      </c>
      <c r="GK38" t="s">
        <v>242</v>
      </c>
      <c r="GL38" t="s">
        <v>26</v>
      </c>
      <c r="GM38" t="s">
        <v>27</v>
      </c>
      <c r="GN38" t="s">
        <v>49</v>
      </c>
      <c r="GO38" t="s">
        <v>105</v>
      </c>
    </row>
    <row r="39" spans="1:197" x14ac:dyDescent="0.25">
      <c r="A39" t="s">
        <v>238</v>
      </c>
      <c r="B39" t="s">
        <v>239</v>
      </c>
      <c r="C39" t="s">
        <v>1</v>
      </c>
      <c r="D39" t="s">
        <v>240</v>
      </c>
      <c r="E39" t="s">
        <v>121</v>
      </c>
      <c r="F39" t="s">
        <v>52</v>
      </c>
      <c r="G39" t="s">
        <v>241</v>
      </c>
      <c r="H39" t="s">
        <v>242</v>
      </c>
      <c r="I39" t="s">
        <v>243</v>
      </c>
      <c r="J39" t="s">
        <v>3</v>
      </c>
      <c r="K39" t="s">
        <v>27</v>
      </c>
      <c r="Y39" t="s">
        <v>367</v>
      </c>
      <c r="Z39" t="s">
        <v>132</v>
      </c>
      <c r="AA39" t="s">
        <v>368</v>
      </c>
      <c r="AB39" t="s">
        <v>96</v>
      </c>
      <c r="AC39" t="s">
        <v>130</v>
      </c>
      <c r="AD39" t="s">
        <v>369</v>
      </c>
      <c r="AE39" t="s">
        <v>26</v>
      </c>
      <c r="AF39" t="s">
        <v>369</v>
      </c>
      <c r="AG39" t="s">
        <v>121</v>
      </c>
      <c r="AH39" t="s">
        <v>368</v>
      </c>
      <c r="AI39" t="s">
        <v>370</v>
      </c>
      <c r="AM39" t="s">
        <v>195</v>
      </c>
      <c r="AN39" t="s">
        <v>196</v>
      </c>
      <c r="AO39" t="s">
        <v>197</v>
      </c>
      <c r="AP39" t="s">
        <v>187</v>
      </c>
      <c r="AQ39" t="s">
        <v>173</v>
      </c>
      <c r="AR39" t="s">
        <v>198</v>
      </c>
      <c r="AS39" t="s">
        <v>167</v>
      </c>
      <c r="AT39" t="s">
        <v>64</v>
      </c>
      <c r="AU39" t="s">
        <v>199</v>
      </c>
      <c r="AV39" t="s">
        <v>200</v>
      </c>
      <c r="AW39" t="s">
        <v>201</v>
      </c>
      <c r="BA39" t="s">
        <v>310</v>
      </c>
      <c r="BB39" t="s">
        <v>311</v>
      </c>
      <c r="BC39" t="s">
        <v>312</v>
      </c>
      <c r="BD39" t="s">
        <v>245</v>
      </c>
      <c r="BE39" t="s">
        <v>96</v>
      </c>
      <c r="BF39" t="s">
        <v>313</v>
      </c>
      <c r="BG39" t="s">
        <v>314</v>
      </c>
      <c r="BH39" t="s">
        <v>315</v>
      </c>
      <c r="BI39" t="s">
        <v>316</v>
      </c>
      <c r="BJ39" t="s">
        <v>217</v>
      </c>
      <c r="BK39" t="s">
        <v>125</v>
      </c>
      <c r="BO39" t="s">
        <v>294</v>
      </c>
      <c r="BP39" t="s">
        <v>295</v>
      </c>
      <c r="BQ39" t="s">
        <v>296</v>
      </c>
      <c r="BR39" t="s">
        <v>8</v>
      </c>
      <c r="BS39" t="s">
        <v>8</v>
      </c>
      <c r="BT39" t="s">
        <v>297</v>
      </c>
      <c r="BU39" t="s">
        <v>37</v>
      </c>
      <c r="BV39" t="s">
        <v>163</v>
      </c>
      <c r="BW39" t="s">
        <v>184</v>
      </c>
      <c r="BX39" t="s">
        <v>298</v>
      </c>
      <c r="BY39" t="s">
        <v>299</v>
      </c>
      <c r="CC39" t="s">
        <v>223</v>
      </c>
      <c r="CD39" t="s">
        <v>224</v>
      </c>
      <c r="CE39" t="s">
        <v>225</v>
      </c>
      <c r="CF39" t="s">
        <v>226</v>
      </c>
      <c r="CG39" t="s">
        <v>207</v>
      </c>
      <c r="CH39" t="s">
        <v>227</v>
      </c>
      <c r="CI39" t="s">
        <v>228</v>
      </c>
      <c r="CJ39" t="s">
        <v>229</v>
      </c>
      <c r="CK39" t="s">
        <v>209</v>
      </c>
      <c r="CL39" t="s">
        <v>28</v>
      </c>
      <c r="CM39" t="s">
        <v>230</v>
      </c>
      <c r="CQ39" t="s">
        <v>195</v>
      </c>
      <c r="CR39" t="s">
        <v>196</v>
      </c>
      <c r="CS39" t="s">
        <v>197</v>
      </c>
      <c r="CT39" t="s">
        <v>187</v>
      </c>
      <c r="CU39" t="s">
        <v>173</v>
      </c>
      <c r="CV39" t="s">
        <v>198</v>
      </c>
      <c r="CW39" t="s">
        <v>167</v>
      </c>
      <c r="CX39" t="s">
        <v>64</v>
      </c>
      <c r="CY39" t="s">
        <v>199</v>
      </c>
      <c r="CZ39" t="s">
        <v>200</v>
      </c>
      <c r="DA39" t="s">
        <v>201</v>
      </c>
      <c r="DE39" t="s">
        <v>189</v>
      </c>
      <c r="DF39" t="s">
        <v>190</v>
      </c>
      <c r="DG39" t="s">
        <v>191</v>
      </c>
      <c r="DH39" t="s">
        <v>187</v>
      </c>
      <c r="DI39" t="s">
        <v>192</v>
      </c>
      <c r="DJ39" t="s">
        <v>193</v>
      </c>
      <c r="DK39" t="s">
        <v>31</v>
      </c>
      <c r="DL39" t="s">
        <v>183</v>
      </c>
      <c r="DM39" t="s">
        <v>36</v>
      </c>
      <c r="DN39" t="s">
        <v>117</v>
      </c>
      <c r="DO39" t="s">
        <v>194</v>
      </c>
      <c r="DR39" t="s">
        <v>71</v>
      </c>
      <c r="DS39" t="s">
        <v>72</v>
      </c>
      <c r="DT39" t="s">
        <v>37</v>
      </c>
      <c r="DU39" t="s">
        <v>26</v>
      </c>
      <c r="DV39" t="s">
        <v>73</v>
      </c>
      <c r="DW39" t="s">
        <v>43</v>
      </c>
      <c r="DX39" t="s">
        <v>60</v>
      </c>
      <c r="DY39" t="s">
        <v>6</v>
      </c>
      <c r="DZ39" t="s">
        <v>74</v>
      </c>
      <c r="EA39" t="s">
        <v>75</v>
      </c>
      <c r="EB39" t="s">
        <v>76</v>
      </c>
      <c r="EE39" t="s">
        <v>356</v>
      </c>
      <c r="EF39" t="s">
        <v>357</v>
      </c>
      <c r="EG39" t="s">
        <v>8</v>
      </c>
      <c r="EH39" t="s">
        <v>17</v>
      </c>
      <c r="EI39" t="s">
        <v>6</v>
      </c>
      <c r="EJ39" t="s">
        <v>42</v>
      </c>
      <c r="EK39" t="s">
        <v>74</v>
      </c>
      <c r="EL39" t="s">
        <v>26</v>
      </c>
      <c r="EM39" t="s">
        <v>358</v>
      </c>
      <c r="EN39" t="s">
        <v>182</v>
      </c>
      <c r="EO39" t="s">
        <v>290</v>
      </c>
      <c r="ER39" t="s">
        <v>218</v>
      </c>
      <c r="ES39" t="s">
        <v>26</v>
      </c>
      <c r="ET39" t="s">
        <v>219</v>
      </c>
      <c r="EU39" t="s">
        <v>206</v>
      </c>
      <c r="EV39" t="s">
        <v>220</v>
      </c>
      <c r="EW39" t="s">
        <v>207</v>
      </c>
      <c r="EX39" t="s">
        <v>221</v>
      </c>
      <c r="EY39" t="s">
        <v>209</v>
      </c>
      <c r="EZ39" t="s">
        <v>27</v>
      </c>
      <c r="FA39" t="s">
        <v>222</v>
      </c>
      <c r="FB39" t="s">
        <v>208</v>
      </c>
      <c r="FE39" t="s">
        <v>104</v>
      </c>
      <c r="FF39" t="s">
        <v>26</v>
      </c>
      <c r="FG39" t="s">
        <v>54</v>
      </c>
      <c r="FH39" t="s">
        <v>105</v>
      </c>
      <c r="FI39" t="s">
        <v>106</v>
      </c>
      <c r="FJ39" t="s">
        <v>107</v>
      </c>
      <c r="FK39" t="s">
        <v>8</v>
      </c>
      <c r="FL39" t="s">
        <v>73</v>
      </c>
      <c r="FM39" t="s">
        <v>27</v>
      </c>
      <c r="FN39" t="s">
        <v>108</v>
      </c>
      <c r="FO39" t="s">
        <v>109</v>
      </c>
      <c r="FR39" t="s">
        <v>218</v>
      </c>
      <c r="FS39" t="s">
        <v>26</v>
      </c>
      <c r="FT39" t="s">
        <v>219</v>
      </c>
      <c r="FU39" t="s">
        <v>206</v>
      </c>
      <c r="FV39" t="s">
        <v>220</v>
      </c>
      <c r="FW39" t="s">
        <v>207</v>
      </c>
      <c r="FX39" t="s">
        <v>221</v>
      </c>
      <c r="FY39" t="s">
        <v>209</v>
      </c>
      <c r="FZ39" t="s">
        <v>27</v>
      </c>
      <c r="GA39" t="s">
        <v>222</v>
      </c>
      <c r="GB39" t="s">
        <v>208</v>
      </c>
    </row>
    <row r="40" spans="1:197" x14ac:dyDescent="0.25">
      <c r="A40" t="s">
        <v>244</v>
      </c>
      <c r="B40" t="s">
        <v>26</v>
      </c>
      <c r="C40" t="s">
        <v>130</v>
      </c>
      <c r="D40" t="s">
        <v>52</v>
      </c>
      <c r="E40" t="s">
        <v>127</v>
      </c>
      <c r="F40" t="s">
        <v>207</v>
      </c>
      <c r="G40" t="s">
        <v>245</v>
      </c>
      <c r="H40" t="s">
        <v>96</v>
      </c>
      <c r="I40" t="s">
        <v>132</v>
      </c>
      <c r="J40" t="s">
        <v>184</v>
      </c>
      <c r="K40" t="s">
        <v>121</v>
      </c>
      <c r="Y40" t="s">
        <v>371</v>
      </c>
      <c r="Z40" t="s">
        <v>132</v>
      </c>
      <c r="AA40" t="s">
        <v>6</v>
      </c>
      <c r="AB40" t="s">
        <v>344</v>
      </c>
      <c r="AC40" t="s">
        <v>372</v>
      </c>
      <c r="AD40" t="s">
        <v>55</v>
      </c>
      <c r="AE40" t="s">
        <v>64</v>
      </c>
      <c r="AF40" t="s">
        <v>373</v>
      </c>
      <c r="AG40" t="s">
        <v>26</v>
      </c>
      <c r="AH40" t="s">
        <v>374</v>
      </c>
      <c r="AI40" t="s">
        <v>188</v>
      </c>
      <c r="AM40" t="s">
        <v>391</v>
      </c>
      <c r="AN40" t="s">
        <v>211</v>
      </c>
      <c r="AO40" t="s">
        <v>210</v>
      </c>
      <c r="AP40" t="s">
        <v>207</v>
      </c>
      <c r="AQ40" t="s">
        <v>212</v>
      </c>
      <c r="AR40" t="s">
        <v>142</v>
      </c>
      <c r="AS40" t="s">
        <v>213</v>
      </c>
      <c r="AT40" t="s">
        <v>214</v>
      </c>
      <c r="AU40" t="s">
        <v>215</v>
      </c>
      <c r="AV40" t="s">
        <v>216</v>
      </c>
      <c r="AW40" t="s">
        <v>217</v>
      </c>
      <c r="BA40" t="s">
        <v>332</v>
      </c>
      <c r="BB40" t="s">
        <v>142</v>
      </c>
      <c r="BC40" t="s">
        <v>121</v>
      </c>
      <c r="BD40" t="s">
        <v>145</v>
      </c>
      <c r="BE40" t="s">
        <v>56</v>
      </c>
      <c r="BF40" t="s">
        <v>96</v>
      </c>
      <c r="BG40" t="s">
        <v>330</v>
      </c>
      <c r="BH40" t="s">
        <v>333</v>
      </c>
      <c r="BI40" t="s">
        <v>185</v>
      </c>
      <c r="BJ40" t="s">
        <v>49</v>
      </c>
      <c r="BK40" t="s">
        <v>334</v>
      </c>
      <c r="BO40" t="s">
        <v>310</v>
      </c>
      <c r="BP40" t="s">
        <v>311</v>
      </c>
      <c r="BQ40" t="s">
        <v>312</v>
      </c>
      <c r="BR40" t="s">
        <v>245</v>
      </c>
      <c r="BS40" t="s">
        <v>96</v>
      </c>
      <c r="BT40" t="s">
        <v>313</v>
      </c>
      <c r="BU40" t="s">
        <v>314</v>
      </c>
      <c r="BV40" t="s">
        <v>315</v>
      </c>
      <c r="BW40" t="s">
        <v>316</v>
      </c>
      <c r="BX40" t="s">
        <v>217</v>
      </c>
      <c r="BY40" t="s">
        <v>125</v>
      </c>
      <c r="CC40" t="s">
        <v>231</v>
      </c>
      <c r="CD40" t="s">
        <v>139</v>
      </c>
      <c r="CE40" t="s">
        <v>224</v>
      </c>
      <c r="CF40" t="s">
        <v>207</v>
      </c>
      <c r="CG40" t="s">
        <v>225</v>
      </c>
      <c r="CH40" t="s">
        <v>232</v>
      </c>
      <c r="CI40" t="s">
        <v>5</v>
      </c>
      <c r="CJ40" t="s">
        <v>220</v>
      </c>
      <c r="CK40" t="s">
        <v>206</v>
      </c>
      <c r="CL40" t="s">
        <v>233</v>
      </c>
      <c r="CM40" t="s">
        <v>234</v>
      </c>
      <c r="CQ40" t="s">
        <v>391</v>
      </c>
      <c r="CR40" t="s">
        <v>211</v>
      </c>
      <c r="CS40" t="s">
        <v>210</v>
      </c>
      <c r="CT40" t="s">
        <v>207</v>
      </c>
      <c r="CU40" t="s">
        <v>212</v>
      </c>
      <c r="CV40" t="s">
        <v>142</v>
      </c>
      <c r="CW40" t="s">
        <v>213</v>
      </c>
      <c r="CX40" t="s">
        <v>214</v>
      </c>
      <c r="CY40" t="s">
        <v>215</v>
      </c>
      <c r="CZ40" t="s">
        <v>216</v>
      </c>
      <c r="DA40" t="s">
        <v>217</v>
      </c>
      <c r="DE40" t="s">
        <v>195</v>
      </c>
      <c r="DF40" t="s">
        <v>196</v>
      </c>
      <c r="DG40" t="s">
        <v>197</v>
      </c>
      <c r="DH40" t="s">
        <v>187</v>
      </c>
      <c r="DI40" t="s">
        <v>173</v>
      </c>
      <c r="DJ40" t="s">
        <v>198</v>
      </c>
      <c r="DK40" t="s">
        <v>167</v>
      </c>
      <c r="DL40" t="s">
        <v>64</v>
      </c>
      <c r="DM40" t="s">
        <v>199</v>
      </c>
      <c r="DN40" t="s">
        <v>200</v>
      </c>
      <c r="DO40" t="s">
        <v>201</v>
      </c>
      <c r="DR40" t="s">
        <v>89</v>
      </c>
      <c r="DS40" t="s">
        <v>90</v>
      </c>
      <c r="DT40" t="s">
        <v>2</v>
      </c>
      <c r="DU40" t="s">
        <v>91</v>
      </c>
      <c r="DV40" t="s">
        <v>92</v>
      </c>
      <c r="DW40" t="s">
        <v>26</v>
      </c>
      <c r="DX40" t="s">
        <v>6</v>
      </c>
      <c r="DY40" t="s">
        <v>74</v>
      </c>
      <c r="DZ40" t="s">
        <v>79</v>
      </c>
      <c r="EA40" t="s">
        <v>93</v>
      </c>
      <c r="EB40" t="s">
        <v>94</v>
      </c>
      <c r="EE40" t="s">
        <v>371</v>
      </c>
      <c r="EF40" t="s">
        <v>132</v>
      </c>
      <c r="EG40" t="s">
        <v>6</v>
      </c>
      <c r="EH40" t="s">
        <v>344</v>
      </c>
      <c r="EI40" t="s">
        <v>372</v>
      </c>
      <c r="EJ40" t="s">
        <v>55</v>
      </c>
      <c r="EK40" t="s">
        <v>64</v>
      </c>
      <c r="EL40" t="s">
        <v>373</v>
      </c>
      <c r="EM40" t="s">
        <v>26</v>
      </c>
      <c r="EN40" t="s">
        <v>374</v>
      </c>
      <c r="EO40" t="s">
        <v>188</v>
      </c>
      <c r="ER40" t="s">
        <v>300</v>
      </c>
      <c r="ES40" t="s">
        <v>26</v>
      </c>
      <c r="ET40" t="s">
        <v>301</v>
      </c>
      <c r="EU40" t="s">
        <v>3</v>
      </c>
      <c r="EV40" t="s">
        <v>302</v>
      </c>
      <c r="EW40" t="s">
        <v>303</v>
      </c>
      <c r="EX40" t="s">
        <v>27</v>
      </c>
      <c r="EY40" t="s">
        <v>55</v>
      </c>
      <c r="EZ40" t="s">
        <v>304</v>
      </c>
      <c r="FA40" t="s">
        <v>305</v>
      </c>
      <c r="FB40" t="s">
        <v>306</v>
      </c>
      <c r="FE40" t="s">
        <v>218</v>
      </c>
      <c r="FF40" t="s">
        <v>26</v>
      </c>
      <c r="FG40" t="s">
        <v>219</v>
      </c>
      <c r="FH40" t="s">
        <v>206</v>
      </c>
      <c r="FI40" t="s">
        <v>220</v>
      </c>
      <c r="FJ40" t="s">
        <v>207</v>
      </c>
      <c r="FK40" t="s">
        <v>221</v>
      </c>
      <c r="FL40" t="s">
        <v>209</v>
      </c>
      <c r="FM40" t="s">
        <v>27</v>
      </c>
      <c r="FN40" t="s">
        <v>222</v>
      </c>
      <c r="FO40" t="s">
        <v>208</v>
      </c>
      <c r="FR40" t="s">
        <v>300</v>
      </c>
      <c r="FS40" t="s">
        <v>26</v>
      </c>
      <c r="FT40" t="s">
        <v>301</v>
      </c>
      <c r="FU40" t="s">
        <v>3</v>
      </c>
      <c r="FV40" t="s">
        <v>302</v>
      </c>
      <c r="FW40" t="s">
        <v>303</v>
      </c>
      <c r="FX40" t="s">
        <v>27</v>
      </c>
      <c r="FY40" t="s">
        <v>55</v>
      </c>
      <c r="FZ40" t="s">
        <v>304</v>
      </c>
      <c r="GA40" t="s">
        <v>305</v>
      </c>
      <c r="GB40" t="s">
        <v>306</v>
      </c>
    </row>
    <row r="41" spans="1:197" x14ac:dyDescent="0.25">
      <c r="A41" t="s">
        <v>246</v>
      </c>
      <c r="B41" t="s">
        <v>4</v>
      </c>
      <c r="C41" t="s">
        <v>37</v>
      </c>
      <c r="D41" t="s">
        <v>179</v>
      </c>
      <c r="E41" t="s">
        <v>247</v>
      </c>
      <c r="F41" t="s">
        <v>105</v>
      </c>
      <c r="G41" t="s">
        <v>126</v>
      </c>
      <c r="H41" t="s">
        <v>149</v>
      </c>
      <c r="I41" t="s">
        <v>109</v>
      </c>
      <c r="J41" t="s">
        <v>170</v>
      </c>
      <c r="K41" t="s">
        <v>47</v>
      </c>
      <c r="Y41" t="s">
        <v>380</v>
      </c>
      <c r="Z41" t="s">
        <v>26</v>
      </c>
      <c r="AA41" t="s">
        <v>127</v>
      </c>
      <c r="AB41" t="s">
        <v>130</v>
      </c>
      <c r="AC41" t="s">
        <v>242</v>
      </c>
      <c r="AD41" t="s">
        <v>327</v>
      </c>
      <c r="AE41" t="s">
        <v>344</v>
      </c>
      <c r="AF41" t="s">
        <v>28</v>
      </c>
      <c r="AG41" t="s">
        <v>83</v>
      </c>
      <c r="AH41" t="s">
        <v>37</v>
      </c>
      <c r="AI41" t="s">
        <v>381</v>
      </c>
      <c r="AM41" t="s">
        <v>223</v>
      </c>
      <c r="AN41" t="s">
        <v>224</v>
      </c>
      <c r="AO41" t="s">
        <v>225</v>
      </c>
      <c r="AP41" t="s">
        <v>226</v>
      </c>
      <c r="AQ41" t="s">
        <v>207</v>
      </c>
      <c r="AR41" t="s">
        <v>227</v>
      </c>
      <c r="AS41" t="s">
        <v>228</v>
      </c>
      <c r="AT41" t="s">
        <v>229</v>
      </c>
      <c r="AU41" t="s">
        <v>209</v>
      </c>
      <c r="AV41" t="s">
        <v>28</v>
      </c>
      <c r="AW41" t="s">
        <v>230</v>
      </c>
      <c r="BA41" t="s">
        <v>345</v>
      </c>
      <c r="BB41" t="s">
        <v>29</v>
      </c>
      <c r="BC41" t="s">
        <v>61</v>
      </c>
      <c r="BD41" t="s">
        <v>42</v>
      </c>
      <c r="BE41" t="s">
        <v>8</v>
      </c>
      <c r="BF41" t="s">
        <v>344</v>
      </c>
      <c r="BG41" t="s">
        <v>46</v>
      </c>
      <c r="BH41" t="s">
        <v>346</v>
      </c>
      <c r="BI41" t="s">
        <v>184</v>
      </c>
      <c r="BJ41" t="s">
        <v>28</v>
      </c>
      <c r="BK41" t="s">
        <v>347</v>
      </c>
      <c r="BO41" t="s">
        <v>345</v>
      </c>
      <c r="BP41" t="s">
        <v>29</v>
      </c>
      <c r="BQ41" t="s">
        <v>61</v>
      </c>
      <c r="BR41" t="s">
        <v>42</v>
      </c>
      <c r="BS41" t="s">
        <v>8</v>
      </c>
      <c r="BT41" t="s">
        <v>344</v>
      </c>
      <c r="BU41" t="s">
        <v>46</v>
      </c>
      <c r="BV41" t="s">
        <v>346</v>
      </c>
      <c r="BW41" t="s">
        <v>184</v>
      </c>
      <c r="BX41" t="s">
        <v>28</v>
      </c>
      <c r="BY41" t="s">
        <v>347</v>
      </c>
      <c r="CC41" t="s">
        <v>246</v>
      </c>
      <c r="CD41" t="s">
        <v>4</v>
      </c>
      <c r="CE41" t="s">
        <v>37</v>
      </c>
      <c r="CF41" t="s">
        <v>179</v>
      </c>
      <c r="CG41" t="s">
        <v>247</v>
      </c>
      <c r="CH41" t="s">
        <v>105</v>
      </c>
      <c r="CI41" t="s">
        <v>126</v>
      </c>
      <c r="CJ41" t="s">
        <v>149</v>
      </c>
      <c r="CK41" t="s">
        <v>109</v>
      </c>
      <c r="CL41" t="s">
        <v>170</v>
      </c>
      <c r="CM41" t="s">
        <v>47</v>
      </c>
      <c r="CQ41" t="s">
        <v>223</v>
      </c>
      <c r="CR41" t="s">
        <v>224</v>
      </c>
      <c r="CS41" t="s">
        <v>225</v>
      </c>
      <c r="CT41" t="s">
        <v>226</v>
      </c>
      <c r="CU41" t="s">
        <v>207</v>
      </c>
      <c r="CV41" t="s">
        <v>227</v>
      </c>
      <c r="CW41" t="s">
        <v>228</v>
      </c>
      <c r="CX41" t="s">
        <v>229</v>
      </c>
      <c r="CY41" t="s">
        <v>209</v>
      </c>
      <c r="CZ41" t="s">
        <v>28</v>
      </c>
      <c r="DA41" t="s">
        <v>230</v>
      </c>
      <c r="DE41" t="s">
        <v>391</v>
      </c>
      <c r="DF41" t="s">
        <v>211</v>
      </c>
      <c r="DG41" t="s">
        <v>210</v>
      </c>
      <c r="DH41" t="s">
        <v>207</v>
      </c>
      <c r="DI41" t="s">
        <v>212</v>
      </c>
      <c r="DJ41" t="s">
        <v>142</v>
      </c>
      <c r="DK41" t="s">
        <v>213</v>
      </c>
      <c r="DL41" t="s">
        <v>214</v>
      </c>
      <c r="DM41" t="s">
        <v>215</v>
      </c>
      <c r="DN41" t="s">
        <v>216</v>
      </c>
      <c r="DO41" t="s">
        <v>217</v>
      </c>
      <c r="DR41" t="s">
        <v>355</v>
      </c>
      <c r="DS41" t="s">
        <v>26</v>
      </c>
      <c r="DT41" t="s">
        <v>88</v>
      </c>
      <c r="DU41" t="s">
        <v>344</v>
      </c>
      <c r="DV41" t="s">
        <v>327</v>
      </c>
      <c r="DW41" t="s">
        <v>163</v>
      </c>
      <c r="DX41" t="s">
        <v>8</v>
      </c>
      <c r="DY41" t="s">
        <v>292</v>
      </c>
      <c r="DZ41" t="s">
        <v>6</v>
      </c>
      <c r="EA41" t="s">
        <v>28</v>
      </c>
      <c r="EB41" t="s">
        <v>86</v>
      </c>
      <c r="EE41" t="s">
        <v>269</v>
      </c>
      <c r="EF41" t="s">
        <v>139</v>
      </c>
      <c r="EG41" t="s">
        <v>270</v>
      </c>
      <c r="EH41" t="s">
        <v>249</v>
      </c>
      <c r="EI41" t="s">
        <v>37</v>
      </c>
      <c r="EJ41" t="s">
        <v>268</v>
      </c>
      <c r="EK41" t="s">
        <v>26</v>
      </c>
      <c r="EL41" t="s">
        <v>20</v>
      </c>
      <c r="EM41" t="s">
        <v>27</v>
      </c>
      <c r="EN41" t="s">
        <v>271</v>
      </c>
      <c r="EO41" t="s">
        <v>62</v>
      </c>
      <c r="ER41" t="s">
        <v>317</v>
      </c>
      <c r="ES41" t="s">
        <v>318</v>
      </c>
      <c r="ET41" t="s">
        <v>319</v>
      </c>
      <c r="EU41" t="s">
        <v>282</v>
      </c>
      <c r="EV41" t="s">
        <v>320</v>
      </c>
      <c r="EW41" t="s">
        <v>279</v>
      </c>
      <c r="EX41" t="s">
        <v>242</v>
      </c>
      <c r="EY41" t="s">
        <v>26</v>
      </c>
      <c r="EZ41" t="s">
        <v>27</v>
      </c>
      <c r="FA41" t="s">
        <v>49</v>
      </c>
      <c r="FB41" t="s">
        <v>105</v>
      </c>
      <c r="FE41" t="s">
        <v>300</v>
      </c>
      <c r="FF41" t="s">
        <v>26</v>
      </c>
      <c r="FG41" t="s">
        <v>301</v>
      </c>
      <c r="FH41" t="s">
        <v>3</v>
      </c>
      <c r="FI41" t="s">
        <v>302</v>
      </c>
      <c r="FJ41" t="s">
        <v>303</v>
      </c>
      <c r="FK41" t="s">
        <v>27</v>
      </c>
      <c r="FL41" t="s">
        <v>55</v>
      </c>
      <c r="FM41" t="s">
        <v>304</v>
      </c>
      <c r="FN41" t="s">
        <v>305</v>
      </c>
      <c r="FO41" t="s">
        <v>306</v>
      </c>
      <c r="FR41" t="s">
        <v>317</v>
      </c>
      <c r="FS41" t="s">
        <v>318</v>
      </c>
      <c r="FT41" t="s">
        <v>319</v>
      </c>
      <c r="FU41" t="s">
        <v>282</v>
      </c>
      <c r="FV41" t="s">
        <v>320</v>
      </c>
      <c r="FW41" t="s">
        <v>279</v>
      </c>
      <c r="FX41" t="s">
        <v>242</v>
      </c>
      <c r="FY41" t="s">
        <v>26</v>
      </c>
      <c r="FZ41" t="s">
        <v>27</v>
      </c>
      <c r="GA41" t="s">
        <v>49</v>
      </c>
      <c r="GB41" t="s">
        <v>105</v>
      </c>
    </row>
    <row r="42" spans="1:197" x14ac:dyDescent="0.25">
      <c r="A42" t="s">
        <v>248</v>
      </c>
      <c r="B42" t="s">
        <v>139</v>
      </c>
      <c r="C42" t="s">
        <v>249</v>
      </c>
      <c r="D42" t="s">
        <v>250</v>
      </c>
      <c r="E42" t="s">
        <v>27</v>
      </c>
      <c r="F42" t="s">
        <v>251</v>
      </c>
      <c r="G42" t="s">
        <v>252</v>
      </c>
      <c r="H42" t="s">
        <v>253</v>
      </c>
      <c r="I42" t="s">
        <v>254</v>
      </c>
      <c r="J42" t="s">
        <v>255</v>
      </c>
      <c r="K42" t="s">
        <v>79</v>
      </c>
      <c r="Y42" t="s">
        <v>387</v>
      </c>
      <c r="Z42" t="s">
        <v>388</v>
      </c>
      <c r="AA42" t="s">
        <v>132</v>
      </c>
      <c r="AB42" t="s">
        <v>188</v>
      </c>
      <c r="AC42" t="s">
        <v>139</v>
      </c>
      <c r="AD42" t="s">
        <v>26</v>
      </c>
      <c r="AE42" t="s">
        <v>389</v>
      </c>
      <c r="AF42" t="s">
        <v>62</v>
      </c>
      <c r="AG42" t="s">
        <v>182</v>
      </c>
      <c r="AH42" t="s">
        <v>25</v>
      </c>
      <c r="AI42" t="s">
        <v>390</v>
      </c>
      <c r="AM42" t="s">
        <v>231</v>
      </c>
      <c r="AN42" t="s">
        <v>139</v>
      </c>
      <c r="AO42" t="s">
        <v>224</v>
      </c>
      <c r="AP42" t="s">
        <v>207</v>
      </c>
      <c r="AQ42" t="s">
        <v>225</v>
      </c>
      <c r="AR42" t="s">
        <v>232</v>
      </c>
      <c r="AS42" t="s">
        <v>5</v>
      </c>
      <c r="AT42" t="s">
        <v>220</v>
      </c>
      <c r="AU42" t="s">
        <v>206</v>
      </c>
      <c r="AV42" t="s">
        <v>233</v>
      </c>
      <c r="AW42" t="s">
        <v>234</v>
      </c>
      <c r="BA42" t="s">
        <v>348</v>
      </c>
      <c r="BB42" t="s">
        <v>349</v>
      </c>
      <c r="BC42" t="s">
        <v>29</v>
      </c>
      <c r="BD42" t="s">
        <v>139</v>
      </c>
      <c r="BE42" t="s">
        <v>350</v>
      </c>
      <c r="BF42" t="s">
        <v>222</v>
      </c>
      <c r="BG42" t="s">
        <v>184</v>
      </c>
      <c r="BH42" t="s">
        <v>37</v>
      </c>
      <c r="BI42" t="s">
        <v>62</v>
      </c>
      <c r="BJ42" t="s">
        <v>64</v>
      </c>
      <c r="BK42" t="s">
        <v>351</v>
      </c>
      <c r="BO42" t="s">
        <v>348</v>
      </c>
      <c r="BP42" t="s">
        <v>349</v>
      </c>
      <c r="BQ42" t="s">
        <v>29</v>
      </c>
      <c r="BR42" t="s">
        <v>139</v>
      </c>
      <c r="BS42" t="s">
        <v>350</v>
      </c>
      <c r="BT42" t="s">
        <v>222</v>
      </c>
      <c r="BU42" t="s">
        <v>184</v>
      </c>
      <c r="BV42" t="s">
        <v>37</v>
      </c>
      <c r="BW42" t="s">
        <v>62</v>
      </c>
      <c r="BX42" t="s">
        <v>64</v>
      </c>
      <c r="BY42" t="s">
        <v>351</v>
      </c>
      <c r="CC42" t="s">
        <v>263</v>
      </c>
      <c r="CD42" t="s">
        <v>264</v>
      </c>
      <c r="CE42" t="s">
        <v>249</v>
      </c>
      <c r="CF42" t="s">
        <v>265</v>
      </c>
      <c r="CG42" t="s">
        <v>24</v>
      </c>
      <c r="CH42" t="s">
        <v>266</v>
      </c>
      <c r="CI42" t="s">
        <v>267</v>
      </c>
      <c r="CJ42" t="s">
        <v>21</v>
      </c>
      <c r="CK42" t="s">
        <v>268</v>
      </c>
      <c r="CL42" t="s">
        <v>147</v>
      </c>
      <c r="CM42" t="s">
        <v>149</v>
      </c>
      <c r="CQ42" t="s">
        <v>231</v>
      </c>
      <c r="CR42" t="s">
        <v>139</v>
      </c>
      <c r="CS42" t="s">
        <v>224</v>
      </c>
      <c r="CT42" t="s">
        <v>207</v>
      </c>
      <c r="CU42" t="s">
        <v>225</v>
      </c>
      <c r="CV42" t="s">
        <v>232</v>
      </c>
      <c r="CW42" t="s">
        <v>5</v>
      </c>
      <c r="CX42" t="s">
        <v>220</v>
      </c>
      <c r="CY42" t="s">
        <v>206</v>
      </c>
      <c r="CZ42" t="s">
        <v>233</v>
      </c>
      <c r="DA42" t="s">
        <v>234</v>
      </c>
      <c r="DE42" t="s">
        <v>223</v>
      </c>
      <c r="DF42" t="s">
        <v>224</v>
      </c>
      <c r="DG42" t="s">
        <v>225</v>
      </c>
      <c r="DH42" t="s">
        <v>226</v>
      </c>
      <c r="DI42" t="s">
        <v>207</v>
      </c>
      <c r="DJ42" t="s">
        <v>227</v>
      </c>
      <c r="DK42" t="s">
        <v>228</v>
      </c>
      <c r="DL42" t="s">
        <v>229</v>
      </c>
      <c r="DM42" t="s">
        <v>209</v>
      </c>
      <c r="DN42" t="s">
        <v>28</v>
      </c>
      <c r="DO42" t="s">
        <v>230</v>
      </c>
      <c r="DR42" t="s">
        <v>356</v>
      </c>
      <c r="DS42" t="s">
        <v>357</v>
      </c>
      <c r="DT42" t="s">
        <v>8</v>
      </c>
      <c r="DU42" t="s">
        <v>17</v>
      </c>
      <c r="DV42" t="s">
        <v>6</v>
      </c>
      <c r="DW42" t="s">
        <v>42</v>
      </c>
      <c r="DX42" t="s">
        <v>74</v>
      </c>
      <c r="DY42" t="s">
        <v>26</v>
      </c>
      <c r="DZ42" t="s">
        <v>358</v>
      </c>
      <c r="EA42" t="s">
        <v>182</v>
      </c>
      <c r="EB42" t="s">
        <v>290</v>
      </c>
      <c r="EE42" t="s">
        <v>33</v>
      </c>
      <c r="EF42" t="s">
        <v>34</v>
      </c>
      <c r="EG42" t="s">
        <v>35</v>
      </c>
      <c r="EH42" t="s">
        <v>36</v>
      </c>
      <c r="EI42" t="s">
        <v>23</v>
      </c>
      <c r="EJ42" t="s">
        <v>37</v>
      </c>
      <c r="EK42" t="s">
        <v>26</v>
      </c>
      <c r="EL42" t="s">
        <v>38</v>
      </c>
      <c r="EM42" t="s">
        <v>27</v>
      </c>
      <c r="EN42" t="s">
        <v>39</v>
      </c>
      <c r="EO42" t="s">
        <v>40</v>
      </c>
      <c r="FE42" t="s">
        <v>317</v>
      </c>
      <c r="FF42" t="s">
        <v>318</v>
      </c>
      <c r="FG42" t="s">
        <v>319</v>
      </c>
      <c r="FH42" t="s">
        <v>282</v>
      </c>
      <c r="FI42" t="s">
        <v>320</v>
      </c>
      <c r="FJ42" t="s">
        <v>279</v>
      </c>
      <c r="FK42" t="s">
        <v>242</v>
      </c>
      <c r="FL42" t="s">
        <v>26</v>
      </c>
      <c r="FM42" t="s">
        <v>27</v>
      </c>
      <c r="FN42" t="s">
        <v>49</v>
      </c>
      <c r="FO42" t="s">
        <v>105</v>
      </c>
    </row>
    <row r="43" spans="1:197" x14ac:dyDescent="0.25">
      <c r="A43" t="s">
        <v>256</v>
      </c>
      <c r="B43" t="s">
        <v>37</v>
      </c>
      <c r="C43" t="s">
        <v>183</v>
      </c>
      <c r="D43" t="s">
        <v>26</v>
      </c>
      <c r="E43" t="s">
        <v>27</v>
      </c>
      <c r="F43" t="s">
        <v>148</v>
      </c>
      <c r="G43" t="s">
        <v>105</v>
      </c>
      <c r="H43" t="s">
        <v>79</v>
      </c>
      <c r="I43" t="s">
        <v>28</v>
      </c>
      <c r="J43" t="s">
        <v>62</v>
      </c>
      <c r="K43" t="s">
        <v>73</v>
      </c>
      <c r="AM43" t="s">
        <v>246</v>
      </c>
      <c r="AN43" t="s">
        <v>4</v>
      </c>
      <c r="AO43" t="s">
        <v>37</v>
      </c>
      <c r="AP43" t="s">
        <v>179</v>
      </c>
      <c r="AQ43" t="s">
        <v>247</v>
      </c>
      <c r="AR43" t="s">
        <v>105</v>
      </c>
      <c r="AS43" t="s">
        <v>126</v>
      </c>
      <c r="AT43" t="s">
        <v>149</v>
      </c>
      <c r="AU43" t="s">
        <v>109</v>
      </c>
      <c r="AV43" t="s">
        <v>170</v>
      </c>
      <c r="AW43" t="s">
        <v>47</v>
      </c>
      <c r="BA43" t="s">
        <v>392</v>
      </c>
      <c r="BB43" t="s">
        <v>132</v>
      </c>
      <c r="BC43" t="s">
        <v>382</v>
      </c>
      <c r="BD43" t="s">
        <v>383</v>
      </c>
      <c r="BE43" t="s">
        <v>382</v>
      </c>
      <c r="BF43" t="s">
        <v>384</v>
      </c>
      <c r="BG43" t="s">
        <v>39</v>
      </c>
      <c r="BH43" t="s">
        <v>344</v>
      </c>
      <c r="BI43" t="s">
        <v>139</v>
      </c>
      <c r="BJ43" t="s">
        <v>385</v>
      </c>
      <c r="BK43" t="s">
        <v>386</v>
      </c>
      <c r="BO43" t="s">
        <v>392</v>
      </c>
      <c r="BP43" t="s">
        <v>132</v>
      </c>
      <c r="BQ43" t="s">
        <v>382</v>
      </c>
      <c r="BR43" t="s">
        <v>383</v>
      </c>
      <c r="BS43" t="s">
        <v>382</v>
      </c>
      <c r="BT43" t="s">
        <v>384</v>
      </c>
      <c r="BU43" t="s">
        <v>39</v>
      </c>
      <c r="BV43" t="s">
        <v>344</v>
      </c>
      <c r="BW43" t="s">
        <v>139</v>
      </c>
      <c r="BX43" t="s">
        <v>385</v>
      </c>
      <c r="BY43" t="s">
        <v>386</v>
      </c>
      <c r="CC43" t="s">
        <v>278</v>
      </c>
      <c r="CD43" t="s">
        <v>279</v>
      </c>
      <c r="CE43" t="s">
        <v>37</v>
      </c>
      <c r="CF43" t="s">
        <v>8</v>
      </c>
      <c r="CG43" t="s">
        <v>280</v>
      </c>
      <c r="CH43" t="s">
        <v>281</v>
      </c>
      <c r="CI43" t="s">
        <v>96</v>
      </c>
      <c r="CJ43" t="s">
        <v>282</v>
      </c>
      <c r="CK43" t="s">
        <v>148</v>
      </c>
      <c r="CL43" t="s">
        <v>188</v>
      </c>
      <c r="CM43" t="s">
        <v>283</v>
      </c>
      <c r="CQ43" t="s">
        <v>246</v>
      </c>
      <c r="CR43" t="s">
        <v>4</v>
      </c>
      <c r="CS43" t="s">
        <v>37</v>
      </c>
      <c r="CT43" t="s">
        <v>179</v>
      </c>
      <c r="CU43" t="s">
        <v>247</v>
      </c>
      <c r="CV43" t="s">
        <v>105</v>
      </c>
      <c r="CW43" t="s">
        <v>126</v>
      </c>
      <c r="CX43" t="s">
        <v>149</v>
      </c>
      <c r="CY43" t="s">
        <v>109</v>
      </c>
      <c r="CZ43" t="s">
        <v>170</v>
      </c>
      <c r="DA43" t="s">
        <v>47</v>
      </c>
      <c r="DE43" t="s">
        <v>246</v>
      </c>
      <c r="DF43" t="s">
        <v>4</v>
      </c>
      <c r="DG43" t="s">
        <v>37</v>
      </c>
      <c r="DH43" t="s">
        <v>179</v>
      </c>
      <c r="DI43" t="s">
        <v>247</v>
      </c>
      <c r="DJ43" t="s">
        <v>105</v>
      </c>
      <c r="DK43" t="s">
        <v>126</v>
      </c>
      <c r="DL43" t="s">
        <v>149</v>
      </c>
      <c r="DM43" t="s">
        <v>109</v>
      </c>
      <c r="DN43" t="s">
        <v>170</v>
      </c>
      <c r="DO43" t="s">
        <v>47</v>
      </c>
      <c r="DR43" t="s">
        <v>371</v>
      </c>
      <c r="DS43" t="s">
        <v>132</v>
      </c>
      <c r="DT43" t="s">
        <v>6</v>
      </c>
      <c r="DU43" t="s">
        <v>344</v>
      </c>
      <c r="DV43" t="s">
        <v>372</v>
      </c>
      <c r="DW43" t="s">
        <v>55</v>
      </c>
      <c r="DX43" t="s">
        <v>64</v>
      </c>
      <c r="DY43" t="s">
        <v>373</v>
      </c>
      <c r="DZ43" t="s">
        <v>26</v>
      </c>
      <c r="EA43" t="s">
        <v>374</v>
      </c>
      <c r="EB43" t="s">
        <v>188</v>
      </c>
      <c r="EE43" t="s">
        <v>104</v>
      </c>
      <c r="EF43" t="s">
        <v>26</v>
      </c>
      <c r="EG43" t="s">
        <v>54</v>
      </c>
      <c r="EH43" t="s">
        <v>105</v>
      </c>
      <c r="EI43" t="s">
        <v>106</v>
      </c>
      <c r="EJ43" t="s">
        <v>107</v>
      </c>
      <c r="EK43" t="s">
        <v>8</v>
      </c>
      <c r="EL43" t="s">
        <v>73</v>
      </c>
      <c r="EM43" t="s">
        <v>27</v>
      </c>
      <c r="EN43" t="s">
        <v>108</v>
      </c>
      <c r="EO43" t="s">
        <v>109</v>
      </c>
    </row>
    <row r="44" spans="1:197" x14ac:dyDescent="0.25">
      <c r="A44" t="s">
        <v>257</v>
      </c>
      <c r="B44" t="s">
        <v>258</v>
      </c>
      <c r="C44" t="s">
        <v>27</v>
      </c>
      <c r="D44" t="s">
        <v>249</v>
      </c>
      <c r="E44" t="s">
        <v>62</v>
      </c>
      <c r="F44" t="s">
        <v>28</v>
      </c>
      <c r="G44" t="s">
        <v>139</v>
      </c>
      <c r="H44" t="s">
        <v>222</v>
      </c>
      <c r="I44" t="s">
        <v>86</v>
      </c>
      <c r="J44" t="s">
        <v>39</v>
      </c>
      <c r="K44" t="s">
        <v>25</v>
      </c>
      <c r="Y44" s="2" t="s">
        <v>409</v>
      </c>
      <c r="AM44" t="s">
        <v>263</v>
      </c>
      <c r="AN44" t="s">
        <v>264</v>
      </c>
      <c r="AO44" t="s">
        <v>249</v>
      </c>
      <c r="AP44" t="s">
        <v>265</v>
      </c>
      <c r="AQ44" t="s">
        <v>24</v>
      </c>
      <c r="AR44" t="s">
        <v>266</v>
      </c>
      <c r="AS44" t="s">
        <v>267</v>
      </c>
      <c r="AT44" t="s">
        <v>21</v>
      </c>
      <c r="AU44" t="s">
        <v>268</v>
      </c>
      <c r="AV44" t="s">
        <v>147</v>
      </c>
      <c r="AW44" t="s">
        <v>149</v>
      </c>
      <c r="CC44" t="s">
        <v>294</v>
      </c>
      <c r="CD44" t="s">
        <v>295</v>
      </c>
      <c r="CE44" t="s">
        <v>296</v>
      </c>
      <c r="CF44" t="s">
        <v>8</v>
      </c>
      <c r="CG44" t="s">
        <v>8</v>
      </c>
      <c r="CH44" t="s">
        <v>297</v>
      </c>
      <c r="CI44" t="s">
        <v>37</v>
      </c>
      <c r="CJ44" t="s">
        <v>163</v>
      </c>
      <c r="CK44" t="s">
        <v>184</v>
      </c>
      <c r="CL44" t="s">
        <v>298</v>
      </c>
      <c r="CM44" t="s">
        <v>299</v>
      </c>
      <c r="CQ44" t="s">
        <v>263</v>
      </c>
      <c r="CR44" t="s">
        <v>264</v>
      </c>
      <c r="CS44" t="s">
        <v>249</v>
      </c>
      <c r="CT44" t="s">
        <v>265</v>
      </c>
      <c r="CU44" t="s">
        <v>24</v>
      </c>
      <c r="CV44" t="s">
        <v>266</v>
      </c>
      <c r="CW44" t="s">
        <v>267</v>
      </c>
      <c r="CX44" t="s">
        <v>21</v>
      </c>
      <c r="CY44" t="s">
        <v>268</v>
      </c>
      <c r="CZ44" t="s">
        <v>147</v>
      </c>
      <c r="DA44" t="s">
        <v>149</v>
      </c>
      <c r="DE44" t="s">
        <v>263</v>
      </c>
      <c r="DF44" t="s">
        <v>264</v>
      </c>
      <c r="DG44" t="s">
        <v>249</v>
      </c>
      <c r="DH44" t="s">
        <v>265</v>
      </c>
      <c r="DI44" t="s">
        <v>24</v>
      </c>
      <c r="DJ44" t="s">
        <v>266</v>
      </c>
      <c r="DK44" t="s">
        <v>267</v>
      </c>
      <c r="DL44" t="s">
        <v>21</v>
      </c>
      <c r="DM44" t="s">
        <v>268</v>
      </c>
      <c r="DN44" t="s">
        <v>147</v>
      </c>
      <c r="DO44" t="s">
        <v>149</v>
      </c>
      <c r="DR44" t="s">
        <v>269</v>
      </c>
      <c r="DS44" t="s">
        <v>139</v>
      </c>
      <c r="DT44" t="s">
        <v>270</v>
      </c>
      <c r="DU44" t="s">
        <v>249</v>
      </c>
      <c r="DV44" t="s">
        <v>37</v>
      </c>
      <c r="DW44" t="s">
        <v>268</v>
      </c>
      <c r="DX44" t="s">
        <v>26</v>
      </c>
      <c r="DY44" t="s">
        <v>20</v>
      </c>
      <c r="DZ44" t="s">
        <v>27</v>
      </c>
      <c r="EA44" t="s">
        <v>271</v>
      </c>
      <c r="EB44" t="s">
        <v>62</v>
      </c>
      <c r="EE44" t="s">
        <v>218</v>
      </c>
      <c r="EF44" t="s">
        <v>26</v>
      </c>
      <c r="EG44" t="s">
        <v>219</v>
      </c>
      <c r="EH44" t="s">
        <v>206</v>
      </c>
      <c r="EI44" t="s">
        <v>220</v>
      </c>
      <c r="EJ44" t="s">
        <v>207</v>
      </c>
      <c r="EK44" t="s">
        <v>221</v>
      </c>
      <c r="EL44" t="s">
        <v>209</v>
      </c>
      <c r="EM44" t="s">
        <v>27</v>
      </c>
      <c r="EN44" t="s">
        <v>222</v>
      </c>
      <c r="EO44" t="s">
        <v>208</v>
      </c>
    </row>
    <row r="45" spans="1:197" x14ac:dyDescent="0.25">
      <c r="A45" t="s">
        <v>259</v>
      </c>
      <c r="B45" t="s">
        <v>6</v>
      </c>
      <c r="C45" t="s">
        <v>258</v>
      </c>
      <c r="D45" t="s">
        <v>88</v>
      </c>
      <c r="E45" t="s">
        <v>260</v>
      </c>
      <c r="F45" t="s">
        <v>258</v>
      </c>
      <c r="G45" t="s">
        <v>74</v>
      </c>
      <c r="H45" t="s">
        <v>27</v>
      </c>
      <c r="I45" t="s">
        <v>261</v>
      </c>
      <c r="J45" t="s">
        <v>148</v>
      </c>
      <c r="K45" t="s">
        <v>262</v>
      </c>
      <c r="Y45" t="s">
        <v>0</v>
      </c>
      <c r="Z45" t="s">
        <v>1</v>
      </c>
      <c r="AA45" t="s">
        <v>2</v>
      </c>
      <c r="AB45" t="s">
        <v>3</v>
      </c>
      <c r="AC45" t="s">
        <v>4</v>
      </c>
      <c r="AD45" t="s">
        <v>5</v>
      </c>
      <c r="AE45" t="s">
        <v>6</v>
      </c>
      <c r="AF45" t="s">
        <v>7</v>
      </c>
      <c r="AG45" t="s">
        <v>8</v>
      </c>
      <c r="AH45" t="s">
        <v>9</v>
      </c>
      <c r="AI45" t="s">
        <v>10</v>
      </c>
      <c r="AM45" t="s">
        <v>275</v>
      </c>
      <c r="AN45" t="s">
        <v>81</v>
      </c>
      <c r="AO45" t="s">
        <v>42</v>
      </c>
      <c r="AP45" t="s">
        <v>20</v>
      </c>
      <c r="AQ45" t="s">
        <v>32</v>
      </c>
      <c r="AR45" t="s">
        <v>121</v>
      </c>
      <c r="AS45" t="s">
        <v>276</v>
      </c>
      <c r="AT45" t="s">
        <v>277</v>
      </c>
      <c r="AU45" t="s">
        <v>6</v>
      </c>
      <c r="AV45" t="s">
        <v>245</v>
      </c>
      <c r="AW45" t="s">
        <v>37</v>
      </c>
      <c r="BA45" t="s">
        <v>413</v>
      </c>
      <c r="BO45" t="s">
        <v>424</v>
      </c>
      <c r="CC45" t="s">
        <v>310</v>
      </c>
      <c r="CD45" t="s">
        <v>311</v>
      </c>
      <c r="CE45" t="s">
        <v>312</v>
      </c>
      <c r="CF45" t="s">
        <v>245</v>
      </c>
      <c r="CG45" t="s">
        <v>96</v>
      </c>
      <c r="CH45" t="s">
        <v>313</v>
      </c>
      <c r="CI45" t="s">
        <v>314</v>
      </c>
      <c r="CJ45" t="s">
        <v>315</v>
      </c>
      <c r="CK45" t="s">
        <v>316</v>
      </c>
      <c r="CL45" t="s">
        <v>217</v>
      </c>
      <c r="CM45" t="s">
        <v>125</v>
      </c>
      <c r="CQ45" t="s">
        <v>278</v>
      </c>
      <c r="CR45" t="s">
        <v>279</v>
      </c>
      <c r="CS45" t="s">
        <v>37</v>
      </c>
      <c r="CT45" t="s">
        <v>8</v>
      </c>
      <c r="CU45" t="s">
        <v>280</v>
      </c>
      <c r="CV45" t="s">
        <v>281</v>
      </c>
      <c r="CW45" t="s">
        <v>96</v>
      </c>
      <c r="CX45" t="s">
        <v>282</v>
      </c>
      <c r="CY45" t="s">
        <v>148</v>
      </c>
      <c r="CZ45" t="s">
        <v>188</v>
      </c>
      <c r="DA45" t="s">
        <v>283</v>
      </c>
      <c r="DE45" t="s">
        <v>278</v>
      </c>
      <c r="DF45" t="s">
        <v>279</v>
      </c>
      <c r="DG45" t="s">
        <v>37</v>
      </c>
      <c r="DH45" t="s">
        <v>8</v>
      </c>
      <c r="DI45" t="s">
        <v>280</v>
      </c>
      <c r="DJ45" t="s">
        <v>281</v>
      </c>
      <c r="DK45" t="s">
        <v>96</v>
      </c>
      <c r="DL45" t="s">
        <v>282</v>
      </c>
      <c r="DM45" t="s">
        <v>148</v>
      </c>
      <c r="DN45" t="s">
        <v>188</v>
      </c>
      <c r="DO45" t="s">
        <v>283</v>
      </c>
      <c r="DR45" t="s">
        <v>33</v>
      </c>
      <c r="DS45" t="s">
        <v>34</v>
      </c>
      <c r="DT45" t="s">
        <v>35</v>
      </c>
      <c r="DU45" t="s">
        <v>36</v>
      </c>
      <c r="DV45" t="s">
        <v>23</v>
      </c>
      <c r="DW45" t="s">
        <v>37</v>
      </c>
      <c r="DX45" t="s">
        <v>26</v>
      </c>
      <c r="DY45" t="s">
        <v>38</v>
      </c>
      <c r="DZ45" t="s">
        <v>27</v>
      </c>
      <c r="EA45" t="s">
        <v>39</v>
      </c>
      <c r="EB45" t="s">
        <v>40</v>
      </c>
      <c r="EE45" t="s">
        <v>300</v>
      </c>
      <c r="EF45" t="s">
        <v>26</v>
      </c>
      <c r="EG45" t="s">
        <v>301</v>
      </c>
      <c r="EH45" t="s">
        <v>3</v>
      </c>
      <c r="EI45" t="s">
        <v>302</v>
      </c>
      <c r="EJ45" t="s">
        <v>303</v>
      </c>
      <c r="EK45" t="s">
        <v>27</v>
      </c>
      <c r="EL45" t="s">
        <v>55</v>
      </c>
      <c r="EM45" t="s">
        <v>304</v>
      </c>
      <c r="EN45" t="s">
        <v>305</v>
      </c>
      <c r="EO45" t="s">
        <v>306</v>
      </c>
    </row>
    <row r="46" spans="1:197" x14ac:dyDescent="0.25">
      <c r="A46" t="s">
        <v>263</v>
      </c>
      <c r="B46" t="s">
        <v>264</v>
      </c>
      <c r="C46" t="s">
        <v>249</v>
      </c>
      <c r="D46" t="s">
        <v>265</v>
      </c>
      <c r="E46" t="s">
        <v>24</v>
      </c>
      <c r="F46" t="s">
        <v>266</v>
      </c>
      <c r="G46" t="s">
        <v>267</v>
      </c>
      <c r="H46" t="s">
        <v>21</v>
      </c>
      <c r="I46" t="s">
        <v>268</v>
      </c>
      <c r="J46" t="s">
        <v>147</v>
      </c>
      <c r="K46" t="s">
        <v>149</v>
      </c>
      <c r="Y46" t="s">
        <v>11</v>
      </c>
      <c r="Z46" t="s">
        <v>12</v>
      </c>
      <c r="AA46" t="s">
        <v>13</v>
      </c>
      <c r="AB46" t="s">
        <v>14</v>
      </c>
      <c r="AC46" t="s">
        <v>15</v>
      </c>
      <c r="AD46" t="s">
        <v>16</v>
      </c>
      <c r="AE46" t="s">
        <v>17</v>
      </c>
      <c r="AF46" t="s">
        <v>18</v>
      </c>
      <c r="AG46" t="s">
        <v>19</v>
      </c>
      <c r="AH46" t="s">
        <v>20</v>
      </c>
      <c r="AI46" t="s">
        <v>21</v>
      </c>
      <c r="AM46" t="s">
        <v>278</v>
      </c>
      <c r="AN46" t="s">
        <v>279</v>
      </c>
      <c r="AO46" t="s">
        <v>37</v>
      </c>
      <c r="AP46" t="s">
        <v>8</v>
      </c>
      <c r="AQ46" t="s">
        <v>280</v>
      </c>
      <c r="AR46" t="s">
        <v>281</v>
      </c>
      <c r="AS46" t="s">
        <v>96</v>
      </c>
      <c r="AT46" t="s">
        <v>282</v>
      </c>
      <c r="AU46" t="s">
        <v>148</v>
      </c>
      <c r="AV46" t="s">
        <v>188</v>
      </c>
      <c r="AW46" t="s">
        <v>283</v>
      </c>
      <c r="BA46" t="s">
        <v>71</v>
      </c>
      <c r="BB46" t="s">
        <v>72</v>
      </c>
      <c r="BC46" t="s">
        <v>37</v>
      </c>
      <c r="BD46" t="s">
        <v>26</v>
      </c>
      <c r="BE46" t="s">
        <v>73</v>
      </c>
      <c r="BF46" t="s">
        <v>43</v>
      </c>
      <c r="BG46" t="s">
        <v>60</v>
      </c>
      <c r="BH46" t="s">
        <v>6</v>
      </c>
      <c r="BI46" t="s">
        <v>74</v>
      </c>
      <c r="BJ46" t="s">
        <v>75</v>
      </c>
      <c r="BK46" t="s">
        <v>76</v>
      </c>
      <c r="BO46" t="s">
        <v>150</v>
      </c>
      <c r="BP46" t="s">
        <v>151</v>
      </c>
      <c r="BQ46" t="s">
        <v>140</v>
      </c>
      <c r="BR46" t="s">
        <v>145</v>
      </c>
      <c r="BS46" t="s">
        <v>152</v>
      </c>
      <c r="BT46" t="s">
        <v>153</v>
      </c>
      <c r="BU46" t="s">
        <v>154</v>
      </c>
      <c r="BV46" t="s">
        <v>121</v>
      </c>
      <c r="BW46" t="s">
        <v>73</v>
      </c>
      <c r="BX46" t="s">
        <v>24</v>
      </c>
      <c r="BY46" t="s">
        <v>155</v>
      </c>
      <c r="CC46" t="s">
        <v>345</v>
      </c>
      <c r="CD46" t="s">
        <v>29</v>
      </c>
      <c r="CE46" t="s">
        <v>61</v>
      </c>
      <c r="CF46" t="s">
        <v>42</v>
      </c>
      <c r="CG46" t="s">
        <v>8</v>
      </c>
      <c r="CH46" t="s">
        <v>344</v>
      </c>
      <c r="CI46" t="s">
        <v>46</v>
      </c>
      <c r="CJ46" t="s">
        <v>346</v>
      </c>
      <c r="CK46" t="s">
        <v>184</v>
      </c>
      <c r="CL46" t="s">
        <v>28</v>
      </c>
      <c r="CM46" t="s">
        <v>347</v>
      </c>
      <c r="CQ46" t="s">
        <v>294</v>
      </c>
      <c r="CR46" t="s">
        <v>295</v>
      </c>
      <c r="CS46" t="s">
        <v>296</v>
      </c>
      <c r="CT46" t="s">
        <v>8</v>
      </c>
      <c r="CU46" t="s">
        <v>8</v>
      </c>
      <c r="CV46" t="s">
        <v>297</v>
      </c>
      <c r="CW46" t="s">
        <v>37</v>
      </c>
      <c r="CX46" t="s">
        <v>163</v>
      </c>
      <c r="CY46" t="s">
        <v>184</v>
      </c>
      <c r="CZ46" t="s">
        <v>298</v>
      </c>
      <c r="DA46" t="s">
        <v>299</v>
      </c>
      <c r="DE46" t="s">
        <v>294</v>
      </c>
      <c r="DF46" t="s">
        <v>295</v>
      </c>
      <c r="DG46" t="s">
        <v>296</v>
      </c>
      <c r="DH46" t="s">
        <v>8</v>
      </c>
      <c r="DI46" t="s">
        <v>8</v>
      </c>
      <c r="DJ46" t="s">
        <v>297</v>
      </c>
      <c r="DK46" t="s">
        <v>37</v>
      </c>
      <c r="DL46" t="s">
        <v>163</v>
      </c>
      <c r="DM46" t="s">
        <v>184</v>
      </c>
      <c r="DN46" t="s">
        <v>298</v>
      </c>
      <c r="DO46" t="s">
        <v>299</v>
      </c>
      <c r="DR46" t="s">
        <v>104</v>
      </c>
      <c r="DS46" t="s">
        <v>26</v>
      </c>
      <c r="DT46" t="s">
        <v>54</v>
      </c>
      <c r="DU46" t="s">
        <v>105</v>
      </c>
      <c r="DV46" t="s">
        <v>106</v>
      </c>
      <c r="DW46" t="s">
        <v>107</v>
      </c>
      <c r="DX46" t="s">
        <v>8</v>
      </c>
      <c r="DY46" t="s">
        <v>73</v>
      </c>
      <c r="DZ46" t="s">
        <v>27</v>
      </c>
      <c r="EA46" t="s">
        <v>108</v>
      </c>
      <c r="EB46" t="s">
        <v>109</v>
      </c>
      <c r="EE46" t="s">
        <v>317</v>
      </c>
      <c r="EF46" t="s">
        <v>318</v>
      </c>
      <c r="EG46" t="s">
        <v>319</v>
      </c>
      <c r="EH46" t="s">
        <v>282</v>
      </c>
      <c r="EI46" t="s">
        <v>320</v>
      </c>
      <c r="EJ46" t="s">
        <v>279</v>
      </c>
      <c r="EK46" t="s">
        <v>242</v>
      </c>
      <c r="EL46" t="s">
        <v>26</v>
      </c>
      <c r="EM46" t="s">
        <v>27</v>
      </c>
      <c r="EN46" t="s">
        <v>49</v>
      </c>
      <c r="EO46" t="s">
        <v>105</v>
      </c>
    </row>
    <row r="47" spans="1:197" x14ac:dyDescent="0.25">
      <c r="A47" t="s">
        <v>269</v>
      </c>
      <c r="B47" t="s">
        <v>139</v>
      </c>
      <c r="C47" t="s">
        <v>270</v>
      </c>
      <c r="D47" t="s">
        <v>249</v>
      </c>
      <c r="E47" t="s">
        <v>37</v>
      </c>
      <c r="F47" t="s">
        <v>268</v>
      </c>
      <c r="G47" t="s">
        <v>26</v>
      </c>
      <c r="H47" t="s">
        <v>20</v>
      </c>
      <c r="I47" t="s">
        <v>27</v>
      </c>
      <c r="J47" t="s">
        <v>271</v>
      </c>
      <c r="K47" t="s">
        <v>62</v>
      </c>
      <c r="Y47" t="s">
        <v>41</v>
      </c>
      <c r="Z47" t="s">
        <v>13</v>
      </c>
      <c r="AA47" t="s">
        <v>42</v>
      </c>
      <c r="AB47" t="s">
        <v>43</v>
      </c>
      <c r="AC47" t="s">
        <v>6</v>
      </c>
      <c r="AD47" t="s">
        <v>44</v>
      </c>
      <c r="AE47" t="s">
        <v>27</v>
      </c>
      <c r="AF47" t="s">
        <v>29</v>
      </c>
      <c r="AG47" t="s">
        <v>39</v>
      </c>
      <c r="AH47" t="s">
        <v>24</v>
      </c>
      <c r="AI47" t="s">
        <v>38</v>
      </c>
      <c r="AM47" t="s">
        <v>294</v>
      </c>
      <c r="AN47" t="s">
        <v>295</v>
      </c>
      <c r="AO47" t="s">
        <v>296</v>
      </c>
      <c r="AP47" t="s">
        <v>8</v>
      </c>
      <c r="AQ47" t="s">
        <v>8</v>
      </c>
      <c r="AR47" t="s">
        <v>297</v>
      </c>
      <c r="AS47" t="s">
        <v>37</v>
      </c>
      <c r="AT47" t="s">
        <v>163</v>
      </c>
      <c r="AU47" t="s">
        <v>184</v>
      </c>
      <c r="AV47" t="s">
        <v>298</v>
      </c>
      <c r="AW47" t="s">
        <v>299</v>
      </c>
      <c r="BA47" t="s">
        <v>77</v>
      </c>
      <c r="BB47" t="s">
        <v>78</v>
      </c>
      <c r="BC47" t="s">
        <v>26</v>
      </c>
      <c r="BD47" t="s">
        <v>6</v>
      </c>
      <c r="BE47" t="s">
        <v>43</v>
      </c>
      <c r="BF47" t="s">
        <v>79</v>
      </c>
      <c r="BG47" t="s">
        <v>80</v>
      </c>
      <c r="BH47" t="s">
        <v>25</v>
      </c>
      <c r="BI47" t="s">
        <v>62</v>
      </c>
      <c r="BJ47" t="s">
        <v>42</v>
      </c>
      <c r="BK47" t="s">
        <v>81</v>
      </c>
      <c r="BO47" t="s">
        <v>332</v>
      </c>
      <c r="BP47" t="s">
        <v>142</v>
      </c>
      <c r="BQ47" t="s">
        <v>121</v>
      </c>
      <c r="BR47" t="s">
        <v>145</v>
      </c>
      <c r="BS47" t="s">
        <v>56</v>
      </c>
      <c r="BT47" t="s">
        <v>96</v>
      </c>
      <c r="BU47" t="s">
        <v>330</v>
      </c>
      <c r="BV47" t="s">
        <v>333</v>
      </c>
      <c r="BW47" t="s">
        <v>185</v>
      </c>
      <c r="BX47" t="s">
        <v>49</v>
      </c>
      <c r="BY47" t="s">
        <v>334</v>
      </c>
      <c r="CC47" t="s">
        <v>392</v>
      </c>
      <c r="CD47" t="s">
        <v>132</v>
      </c>
      <c r="CE47" t="s">
        <v>382</v>
      </c>
      <c r="CF47" t="s">
        <v>383</v>
      </c>
      <c r="CG47" t="s">
        <v>382</v>
      </c>
      <c r="CH47" t="s">
        <v>384</v>
      </c>
      <c r="CI47" t="s">
        <v>39</v>
      </c>
      <c r="CJ47" t="s">
        <v>344</v>
      </c>
      <c r="CK47" t="s">
        <v>139</v>
      </c>
      <c r="CL47" t="s">
        <v>385</v>
      </c>
      <c r="CM47" t="s">
        <v>386</v>
      </c>
      <c r="CQ47" t="s">
        <v>310</v>
      </c>
      <c r="CR47" t="s">
        <v>311</v>
      </c>
      <c r="CS47" t="s">
        <v>312</v>
      </c>
      <c r="CT47" t="s">
        <v>245</v>
      </c>
      <c r="CU47" t="s">
        <v>96</v>
      </c>
      <c r="CV47" t="s">
        <v>313</v>
      </c>
      <c r="CW47" t="s">
        <v>314</v>
      </c>
      <c r="CX47" t="s">
        <v>315</v>
      </c>
      <c r="CY47" t="s">
        <v>316</v>
      </c>
      <c r="CZ47" t="s">
        <v>217</v>
      </c>
      <c r="DA47" t="s">
        <v>125</v>
      </c>
      <c r="DE47" t="s">
        <v>310</v>
      </c>
      <c r="DF47" t="s">
        <v>311</v>
      </c>
      <c r="DG47" t="s">
        <v>312</v>
      </c>
      <c r="DH47" t="s">
        <v>245</v>
      </c>
      <c r="DI47" t="s">
        <v>96</v>
      </c>
      <c r="DJ47" t="s">
        <v>313</v>
      </c>
      <c r="DK47" t="s">
        <v>314</v>
      </c>
      <c r="DL47" t="s">
        <v>315</v>
      </c>
      <c r="DM47" t="s">
        <v>316</v>
      </c>
      <c r="DN47" t="s">
        <v>217</v>
      </c>
      <c r="DO47" t="s">
        <v>125</v>
      </c>
      <c r="DR47" t="s">
        <v>218</v>
      </c>
      <c r="DS47" t="s">
        <v>26</v>
      </c>
      <c r="DT47" t="s">
        <v>219</v>
      </c>
      <c r="DU47" t="s">
        <v>206</v>
      </c>
      <c r="DV47" t="s">
        <v>220</v>
      </c>
      <c r="DW47" t="s">
        <v>207</v>
      </c>
      <c r="DX47" t="s">
        <v>221</v>
      </c>
      <c r="DY47" t="s">
        <v>209</v>
      </c>
      <c r="DZ47" t="s">
        <v>27</v>
      </c>
      <c r="EA47" t="s">
        <v>222</v>
      </c>
      <c r="EB47" t="s">
        <v>208</v>
      </c>
    </row>
    <row r="48" spans="1:197" x14ac:dyDescent="0.25">
      <c r="A48" t="s">
        <v>272</v>
      </c>
      <c r="B48" t="s">
        <v>273</v>
      </c>
      <c r="C48" t="s">
        <v>27</v>
      </c>
      <c r="D48" t="s">
        <v>139</v>
      </c>
      <c r="E48" t="s">
        <v>6</v>
      </c>
      <c r="F48" t="s">
        <v>88</v>
      </c>
      <c r="G48" t="s">
        <v>27</v>
      </c>
      <c r="H48" t="s">
        <v>24</v>
      </c>
      <c r="I48" t="s">
        <v>198</v>
      </c>
      <c r="J48" t="s">
        <v>249</v>
      </c>
      <c r="K48" t="s">
        <v>274</v>
      </c>
      <c r="Y48" t="s">
        <v>50</v>
      </c>
      <c r="Z48" t="s">
        <v>46</v>
      </c>
      <c r="AA48" t="s">
        <v>51</v>
      </c>
      <c r="AB48" t="s">
        <v>52</v>
      </c>
      <c r="AC48" t="s">
        <v>53</v>
      </c>
      <c r="AD48" t="s">
        <v>54</v>
      </c>
      <c r="AE48" t="s">
        <v>27</v>
      </c>
      <c r="AF48" t="s">
        <v>55</v>
      </c>
      <c r="AG48" t="s">
        <v>28</v>
      </c>
      <c r="AH48" t="s">
        <v>56</v>
      </c>
      <c r="AI48" t="s">
        <v>57</v>
      </c>
      <c r="AM48" t="s">
        <v>310</v>
      </c>
      <c r="AN48" t="s">
        <v>311</v>
      </c>
      <c r="AO48" t="s">
        <v>312</v>
      </c>
      <c r="AP48" t="s">
        <v>245</v>
      </c>
      <c r="AQ48" t="s">
        <v>96</v>
      </c>
      <c r="AR48" t="s">
        <v>313</v>
      </c>
      <c r="AS48" t="s">
        <v>314</v>
      </c>
      <c r="AT48" t="s">
        <v>315</v>
      </c>
      <c r="AU48" t="s">
        <v>316</v>
      </c>
      <c r="AV48" t="s">
        <v>217</v>
      </c>
      <c r="AW48" t="s">
        <v>125</v>
      </c>
      <c r="BA48" t="s">
        <v>89</v>
      </c>
      <c r="BB48" t="s">
        <v>90</v>
      </c>
      <c r="BC48" t="s">
        <v>2</v>
      </c>
      <c r="BD48" t="s">
        <v>91</v>
      </c>
      <c r="BE48" t="s">
        <v>92</v>
      </c>
      <c r="BF48" t="s">
        <v>26</v>
      </c>
      <c r="BG48" t="s">
        <v>6</v>
      </c>
      <c r="BH48" t="s">
        <v>74</v>
      </c>
      <c r="BI48" t="s">
        <v>79</v>
      </c>
      <c r="BJ48" t="s">
        <v>93</v>
      </c>
      <c r="BK48" t="s">
        <v>94</v>
      </c>
      <c r="CQ48" t="s">
        <v>345</v>
      </c>
      <c r="CR48" t="s">
        <v>29</v>
      </c>
      <c r="CS48" t="s">
        <v>61</v>
      </c>
      <c r="CT48" t="s">
        <v>42</v>
      </c>
      <c r="CU48" t="s">
        <v>8</v>
      </c>
      <c r="CV48" t="s">
        <v>344</v>
      </c>
      <c r="CW48" t="s">
        <v>46</v>
      </c>
      <c r="CX48" t="s">
        <v>346</v>
      </c>
      <c r="CY48" t="s">
        <v>184</v>
      </c>
      <c r="CZ48" t="s">
        <v>28</v>
      </c>
      <c r="DA48" t="s">
        <v>347</v>
      </c>
      <c r="DE48" t="s">
        <v>345</v>
      </c>
      <c r="DF48" t="s">
        <v>29</v>
      </c>
      <c r="DG48" t="s">
        <v>61</v>
      </c>
      <c r="DH48" t="s">
        <v>42</v>
      </c>
      <c r="DI48" t="s">
        <v>8</v>
      </c>
      <c r="DJ48" t="s">
        <v>344</v>
      </c>
      <c r="DK48" t="s">
        <v>46</v>
      </c>
      <c r="DL48" t="s">
        <v>346</v>
      </c>
      <c r="DM48" t="s">
        <v>184</v>
      </c>
      <c r="DN48" t="s">
        <v>28</v>
      </c>
      <c r="DO48" t="s">
        <v>347</v>
      </c>
      <c r="DR48" t="s">
        <v>300</v>
      </c>
      <c r="DS48" t="s">
        <v>26</v>
      </c>
      <c r="DT48" t="s">
        <v>301</v>
      </c>
      <c r="DU48" t="s">
        <v>3</v>
      </c>
      <c r="DV48" t="s">
        <v>302</v>
      </c>
      <c r="DW48" t="s">
        <v>303</v>
      </c>
      <c r="DX48" t="s">
        <v>27</v>
      </c>
      <c r="DY48" t="s">
        <v>55</v>
      </c>
      <c r="DZ48" t="s">
        <v>304</v>
      </c>
      <c r="EA48" t="s">
        <v>305</v>
      </c>
      <c r="EB48" t="s">
        <v>306</v>
      </c>
    </row>
    <row r="49" spans="1:132" x14ac:dyDescent="0.25">
      <c r="A49" t="s">
        <v>275</v>
      </c>
      <c r="B49" t="s">
        <v>81</v>
      </c>
      <c r="C49" t="s">
        <v>42</v>
      </c>
      <c r="D49" t="s">
        <v>20</v>
      </c>
      <c r="E49" t="s">
        <v>32</v>
      </c>
      <c r="F49" t="s">
        <v>121</v>
      </c>
      <c r="G49" t="s">
        <v>276</v>
      </c>
      <c r="H49" t="s">
        <v>277</v>
      </c>
      <c r="I49" t="s">
        <v>6</v>
      </c>
      <c r="J49" t="s">
        <v>245</v>
      </c>
      <c r="K49" t="s">
        <v>37</v>
      </c>
      <c r="Y49" t="s">
        <v>58</v>
      </c>
      <c r="Z49" t="s">
        <v>59</v>
      </c>
      <c r="AA49" t="s">
        <v>29</v>
      </c>
      <c r="AB49" t="s">
        <v>60</v>
      </c>
      <c r="AC49" t="s">
        <v>6</v>
      </c>
      <c r="AD49" t="s">
        <v>43</v>
      </c>
      <c r="AE49" t="s">
        <v>27</v>
      </c>
      <c r="AF49" t="s">
        <v>61</v>
      </c>
      <c r="AG49" t="s">
        <v>62</v>
      </c>
      <c r="AH49" t="s">
        <v>63</v>
      </c>
      <c r="AI49" t="s">
        <v>64</v>
      </c>
      <c r="AM49" t="s">
        <v>332</v>
      </c>
      <c r="AN49" t="s">
        <v>142</v>
      </c>
      <c r="AO49" t="s">
        <v>121</v>
      </c>
      <c r="AP49" t="s">
        <v>145</v>
      </c>
      <c r="AQ49" t="s">
        <v>56</v>
      </c>
      <c r="AR49" t="s">
        <v>96</v>
      </c>
      <c r="AS49" t="s">
        <v>330</v>
      </c>
      <c r="AT49" t="s">
        <v>333</v>
      </c>
      <c r="AU49" t="s">
        <v>185</v>
      </c>
      <c r="AV49" t="s">
        <v>49</v>
      </c>
      <c r="AW49" t="s">
        <v>334</v>
      </c>
      <c r="BA49" t="s">
        <v>307</v>
      </c>
      <c r="BB49" t="s">
        <v>301</v>
      </c>
      <c r="BC49" t="s">
        <v>26</v>
      </c>
      <c r="BD49" t="s">
        <v>127</v>
      </c>
      <c r="BE49" t="s">
        <v>6</v>
      </c>
      <c r="BF49" t="s">
        <v>139</v>
      </c>
      <c r="BG49" t="s">
        <v>308</v>
      </c>
      <c r="BH49" t="s">
        <v>51</v>
      </c>
      <c r="BI49" t="s">
        <v>62</v>
      </c>
      <c r="BJ49" t="s">
        <v>309</v>
      </c>
      <c r="BK49" t="s">
        <v>46</v>
      </c>
      <c r="BO49" t="s">
        <v>425</v>
      </c>
      <c r="CC49" t="s">
        <v>443</v>
      </c>
      <c r="CQ49" t="s">
        <v>392</v>
      </c>
      <c r="CR49" t="s">
        <v>132</v>
      </c>
      <c r="CS49" t="s">
        <v>382</v>
      </c>
      <c r="CT49" t="s">
        <v>383</v>
      </c>
      <c r="CU49" t="s">
        <v>382</v>
      </c>
      <c r="CV49" t="s">
        <v>384</v>
      </c>
      <c r="CW49" t="s">
        <v>39</v>
      </c>
      <c r="CX49" t="s">
        <v>344</v>
      </c>
      <c r="CY49" t="s">
        <v>139</v>
      </c>
      <c r="CZ49" t="s">
        <v>385</v>
      </c>
      <c r="DA49" t="s">
        <v>386</v>
      </c>
      <c r="DR49" t="s">
        <v>317</v>
      </c>
      <c r="DS49" t="s">
        <v>318</v>
      </c>
      <c r="DT49" t="s">
        <v>319</v>
      </c>
      <c r="DU49" t="s">
        <v>282</v>
      </c>
      <c r="DV49" t="s">
        <v>320</v>
      </c>
      <c r="DW49" t="s">
        <v>279</v>
      </c>
      <c r="DX49" t="s">
        <v>242</v>
      </c>
      <c r="DY49" t="s">
        <v>26</v>
      </c>
      <c r="DZ49" t="s">
        <v>27</v>
      </c>
      <c r="EA49" t="s">
        <v>49</v>
      </c>
      <c r="EB49" t="s">
        <v>105</v>
      </c>
    </row>
    <row r="50" spans="1:132" x14ac:dyDescent="0.25">
      <c r="A50" t="s">
        <v>278</v>
      </c>
      <c r="B50" t="s">
        <v>279</v>
      </c>
      <c r="C50" t="s">
        <v>37</v>
      </c>
      <c r="D50" t="s">
        <v>8</v>
      </c>
      <c r="E50" t="s">
        <v>280</v>
      </c>
      <c r="F50" t="s">
        <v>281</v>
      </c>
      <c r="G50" t="s">
        <v>96</v>
      </c>
      <c r="H50" t="s">
        <v>282</v>
      </c>
      <c r="I50" t="s">
        <v>148</v>
      </c>
      <c r="J50" t="s">
        <v>188</v>
      </c>
      <c r="K50" t="s">
        <v>283</v>
      </c>
      <c r="Y50" t="s">
        <v>110</v>
      </c>
      <c r="Z50" t="s">
        <v>8</v>
      </c>
      <c r="AA50" t="s">
        <v>2</v>
      </c>
      <c r="AB50" t="s">
        <v>111</v>
      </c>
      <c r="AC50" t="s">
        <v>56</v>
      </c>
      <c r="AD50" t="s">
        <v>92</v>
      </c>
      <c r="AE50" t="s">
        <v>8</v>
      </c>
      <c r="AF50" t="s">
        <v>112</v>
      </c>
      <c r="AG50" t="s">
        <v>96</v>
      </c>
      <c r="AH50" t="s">
        <v>113</v>
      </c>
      <c r="AI50" t="s">
        <v>114</v>
      </c>
      <c r="AM50" t="s">
        <v>345</v>
      </c>
      <c r="AN50" t="s">
        <v>29</v>
      </c>
      <c r="AO50" t="s">
        <v>61</v>
      </c>
      <c r="AP50" t="s">
        <v>42</v>
      </c>
      <c r="AQ50" t="s">
        <v>8</v>
      </c>
      <c r="AR50" t="s">
        <v>344</v>
      </c>
      <c r="AS50" t="s">
        <v>46</v>
      </c>
      <c r="AT50" t="s">
        <v>346</v>
      </c>
      <c r="AU50" t="s">
        <v>184</v>
      </c>
      <c r="AV50" t="s">
        <v>28</v>
      </c>
      <c r="AW50" t="s">
        <v>347</v>
      </c>
      <c r="BA50" t="s">
        <v>355</v>
      </c>
      <c r="BB50" t="s">
        <v>26</v>
      </c>
      <c r="BC50" t="s">
        <v>88</v>
      </c>
      <c r="BD50" t="s">
        <v>344</v>
      </c>
      <c r="BE50" t="s">
        <v>327</v>
      </c>
      <c r="BF50" t="s">
        <v>163</v>
      </c>
      <c r="BG50" t="s">
        <v>8</v>
      </c>
      <c r="BH50" t="s">
        <v>292</v>
      </c>
      <c r="BI50" t="s">
        <v>6</v>
      </c>
      <c r="BJ50" t="s">
        <v>28</v>
      </c>
      <c r="BK50" t="s">
        <v>86</v>
      </c>
      <c r="BO50" t="s">
        <v>71</v>
      </c>
      <c r="BP50" t="s">
        <v>72</v>
      </c>
      <c r="BQ50" t="s">
        <v>37</v>
      </c>
      <c r="BR50" t="s">
        <v>26</v>
      </c>
      <c r="BS50" t="s">
        <v>73</v>
      </c>
      <c r="BT50" t="s">
        <v>43</v>
      </c>
      <c r="BU50" t="s">
        <v>60</v>
      </c>
      <c r="BV50" t="s">
        <v>6</v>
      </c>
      <c r="BW50" t="s">
        <v>74</v>
      </c>
      <c r="BX50" t="s">
        <v>75</v>
      </c>
      <c r="BY50" t="s">
        <v>76</v>
      </c>
      <c r="CC50" t="s">
        <v>77</v>
      </c>
      <c r="CD50" t="s">
        <v>78</v>
      </c>
      <c r="CE50" t="s">
        <v>26</v>
      </c>
      <c r="CF50" t="s">
        <v>6</v>
      </c>
      <c r="CG50" t="s">
        <v>43</v>
      </c>
      <c r="CH50" t="s">
        <v>79</v>
      </c>
      <c r="CI50" t="s">
        <v>80</v>
      </c>
      <c r="CJ50" t="s">
        <v>25</v>
      </c>
      <c r="CK50" t="s">
        <v>62</v>
      </c>
      <c r="CL50" t="s">
        <v>42</v>
      </c>
      <c r="CM50" t="s">
        <v>81</v>
      </c>
      <c r="DE50" t="s">
        <v>483</v>
      </c>
    </row>
    <row r="51" spans="1:132" x14ac:dyDescent="0.25">
      <c r="A51" t="s">
        <v>284</v>
      </c>
      <c r="B51" t="s">
        <v>57</v>
      </c>
      <c r="C51" t="s">
        <v>56</v>
      </c>
      <c r="D51" t="s">
        <v>285</v>
      </c>
      <c r="E51" t="s">
        <v>2</v>
      </c>
      <c r="F51" t="s">
        <v>175</v>
      </c>
      <c r="G51" t="s">
        <v>286</v>
      </c>
      <c r="H51" t="s">
        <v>287</v>
      </c>
      <c r="I51" t="s">
        <v>288</v>
      </c>
      <c r="J51" t="s">
        <v>26</v>
      </c>
      <c r="K51" t="s">
        <v>24</v>
      </c>
      <c r="Y51" t="s">
        <v>144</v>
      </c>
      <c r="Z51" t="s">
        <v>145</v>
      </c>
      <c r="AA51" t="s">
        <v>37</v>
      </c>
      <c r="AB51" t="s">
        <v>37</v>
      </c>
      <c r="AC51" t="s">
        <v>125</v>
      </c>
      <c r="AD51" t="s">
        <v>140</v>
      </c>
      <c r="AE51" t="s">
        <v>146</v>
      </c>
      <c r="AF51" t="s">
        <v>4</v>
      </c>
      <c r="AG51" t="s">
        <v>147</v>
      </c>
      <c r="AH51" t="s">
        <v>148</v>
      </c>
      <c r="AI51" t="s">
        <v>149</v>
      </c>
      <c r="AM51" t="s">
        <v>348</v>
      </c>
      <c r="AN51" t="s">
        <v>349</v>
      </c>
      <c r="AO51" t="s">
        <v>29</v>
      </c>
      <c r="AP51" t="s">
        <v>139</v>
      </c>
      <c r="AQ51" t="s">
        <v>350</v>
      </c>
      <c r="AR51" t="s">
        <v>222</v>
      </c>
      <c r="AS51" t="s">
        <v>184</v>
      </c>
      <c r="AT51" t="s">
        <v>37</v>
      </c>
      <c r="AU51" t="s">
        <v>62</v>
      </c>
      <c r="AV51" t="s">
        <v>64</v>
      </c>
      <c r="AW51" t="s">
        <v>351</v>
      </c>
      <c r="BA51" t="s">
        <v>356</v>
      </c>
      <c r="BB51" t="s">
        <v>357</v>
      </c>
      <c r="BC51" t="s">
        <v>8</v>
      </c>
      <c r="BD51" t="s">
        <v>17</v>
      </c>
      <c r="BE51" t="s">
        <v>6</v>
      </c>
      <c r="BF51" t="s">
        <v>42</v>
      </c>
      <c r="BG51" t="s">
        <v>74</v>
      </c>
      <c r="BH51" t="s">
        <v>26</v>
      </c>
      <c r="BI51" t="s">
        <v>358</v>
      </c>
      <c r="BJ51" t="s">
        <v>182</v>
      </c>
      <c r="BK51" t="s">
        <v>290</v>
      </c>
      <c r="BO51" t="s">
        <v>77</v>
      </c>
      <c r="BP51" t="s">
        <v>78</v>
      </c>
      <c r="BQ51" t="s">
        <v>26</v>
      </c>
      <c r="BR51" t="s">
        <v>6</v>
      </c>
      <c r="BS51" t="s">
        <v>43</v>
      </c>
      <c r="BT51" t="s">
        <v>79</v>
      </c>
      <c r="BU51" t="s">
        <v>80</v>
      </c>
      <c r="BV51" t="s">
        <v>25</v>
      </c>
      <c r="BW51" t="s">
        <v>62</v>
      </c>
      <c r="BX51" t="s">
        <v>42</v>
      </c>
      <c r="BY51" t="s">
        <v>81</v>
      </c>
      <c r="CC51" t="s">
        <v>307</v>
      </c>
      <c r="CD51" t="s">
        <v>301</v>
      </c>
      <c r="CE51" t="s">
        <v>26</v>
      </c>
      <c r="CF51" t="s">
        <v>127</v>
      </c>
      <c r="CG51" t="s">
        <v>6</v>
      </c>
      <c r="CH51" t="s">
        <v>139</v>
      </c>
      <c r="CI51" t="s">
        <v>308</v>
      </c>
      <c r="CJ51" t="s">
        <v>51</v>
      </c>
      <c r="CK51" t="s">
        <v>62</v>
      </c>
      <c r="CL51" t="s">
        <v>309</v>
      </c>
      <c r="CM51" t="s">
        <v>46</v>
      </c>
      <c r="CQ51" t="s">
        <v>461</v>
      </c>
      <c r="DE51" t="s">
        <v>156</v>
      </c>
      <c r="DF51" t="s">
        <v>145</v>
      </c>
      <c r="DG51" t="s">
        <v>21</v>
      </c>
      <c r="DH51" t="s">
        <v>157</v>
      </c>
      <c r="DI51" t="s">
        <v>24</v>
      </c>
      <c r="DJ51" t="s">
        <v>39</v>
      </c>
      <c r="DK51" t="s">
        <v>158</v>
      </c>
      <c r="DL51" t="s">
        <v>139</v>
      </c>
      <c r="DM51" t="s">
        <v>96</v>
      </c>
      <c r="DN51" t="s">
        <v>151</v>
      </c>
      <c r="DO51" t="s">
        <v>159</v>
      </c>
    </row>
    <row r="52" spans="1:132" x14ac:dyDescent="0.25">
      <c r="A52" t="s">
        <v>289</v>
      </c>
      <c r="B52" t="s">
        <v>290</v>
      </c>
      <c r="C52" t="s">
        <v>26</v>
      </c>
      <c r="D52" t="s">
        <v>222</v>
      </c>
      <c r="E52" t="s">
        <v>282</v>
      </c>
      <c r="F52" t="s">
        <v>291</v>
      </c>
      <c r="G52" t="s">
        <v>139</v>
      </c>
      <c r="H52" t="s">
        <v>292</v>
      </c>
      <c r="I52" t="s">
        <v>24</v>
      </c>
      <c r="J52" t="s">
        <v>293</v>
      </c>
      <c r="K52" t="s">
        <v>74</v>
      </c>
      <c r="Y52" t="s">
        <v>150</v>
      </c>
      <c r="Z52" t="s">
        <v>151</v>
      </c>
      <c r="AA52" t="s">
        <v>140</v>
      </c>
      <c r="AB52" t="s">
        <v>145</v>
      </c>
      <c r="AC52" t="s">
        <v>152</v>
      </c>
      <c r="AD52" t="s">
        <v>153</v>
      </c>
      <c r="AE52" t="s">
        <v>154</v>
      </c>
      <c r="AF52" t="s">
        <v>121</v>
      </c>
      <c r="AG52" t="s">
        <v>73</v>
      </c>
      <c r="AH52" t="s">
        <v>24</v>
      </c>
      <c r="AI52" t="s">
        <v>155</v>
      </c>
      <c r="AM52" t="s">
        <v>361</v>
      </c>
      <c r="AN52" t="s">
        <v>88</v>
      </c>
      <c r="AO52" t="s">
        <v>61</v>
      </c>
      <c r="AP52" t="s">
        <v>56</v>
      </c>
      <c r="AQ52" t="s">
        <v>46</v>
      </c>
      <c r="AR52" t="s">
        <v>344</v>
      </c>
      <c r="AS52" t="s">
        <v>362</v>
      </c>
      <c r="AT52" t="s">
        <v>42</v>
      </c>
      <c r="AU52" t="s">
        <v>60</v>
      </c>
      <c r="AV52" t="s">
        <v>6</v>
      </c>
      <c r="AW52" t="s">
        <v>55</v>
      </c>
      <c r="BA52" t="s">
        <v>371</v>
      </c>
      <c r="BB52" t="s">
        <v>132</v>
      </c>
      <c r="BC52" t="s">
        <v>6</v>
      </c>
      <c r="BD52" t="s">
        <v>344</v>
      </c>
      <c r="BE52" t="s">
        <v>372</v>
      </c>
      <c r="BF52" t="s">
        <v>55</v>
      </c>
      <c r="BG52" t="s">
        <v>64</v>
      </c>
      <c r="BH52" t="s">
        <v>373</v>
      </c>
      <c r="BI52" t="s">
        <v>26</v>
      </c>
      <c r="BJ52" t="s">
        <v>374</v>
      </c>
      <c r="BK52" t="s">
        <v>188</v>
      </c>
      <c r="BO52" t="s">
        <v>89</v>
      </c>
      <c r="BP52" t="s">
        <v>90</v>
      </c>
      <c r="BQ52" t="s">
        <v>2</v>
      </c>
      <c r="BR52" t="s">
        <v>91</v>
      </c>
      <c r="BS52" t="s">
        <v>92</v>
      </c>
      <c r="BT52" t="s">
        <v>26</v>
      </c>
      <c r="BU52" t="s">
        <v>6</v>
      </c>
      <c r="BV52" t="s">
        <v>74</v>
      </c>
      <c r="BW52" t="s">
        <v>79</v>
      </c>
      <c r="BX52" t="s">
        <v>93</v>
      </c>
      <c r="BY52" t="s">
        <v>94</v>
      </c>
      <c r="CQ52" t="s">
        <v>77</v>
      </c>
      <c r="CR52" t="s">
        <v>78</v>
      </c>
      <c r="CS52" t="s">
        <v>26</v>
      </c>
      <c r="CT52" t="s">
        <v>6</v>
      </c>
      <c r="CU52" t="s">
        <v>43</v>
      </c>
      <c r="CV52" t="s">
        <v>79</v>
      </c>
      <c r="CW52" t="s">
        <v>80</v>
      </c>
      <c r="CX52" t="s">
        <v>25</v>
      </c>
      <c r="CY52" t="s">
        <v>62</v>
      </c>
      <c r="CZ52" t="s">
        <v>42</v>
      </c>
      <c r="DA52" t="s">
        <v>81</v>
      </c>
      <c r="DE52" t="s">
        <v>231</v>
      </c>
      <c r="DF52" t="s">
        <v>139</v>
      </c>
      <c r="DG52" t="s">
        <v>224</v>
      </c>
      <c r="DH52" t="s">
        <v>207</v>
      </c>
      <c r="DI52" t="s">
        <v>225</v>
      </c>
      <c r="DJ52" t="s">
        <v>232</v>
      </c>
      <c r="DK52" t="s">
        <v>5</v>
      </c>
      <c r="DL52" t="s">
        <v>220</v>
      </c>
      <c r="DM52" t="s">
        <v>206</v>
      </c>
      <c r="DN52" t="s">
        <v>233</v>
      </c>
      <c r="DO52" t="s">
        <v>234</v>
      </c>
    </row>
    <row r="53" spans="1:132" x14ac:dyDescent="0.25">
      <c r="A53" t="s">
        <v>294</v>
      </c>
      <c r="B53" t="s">
        <v>295</v>
      </c>
      <c r="C53" t="s">
        <v>296</v>
      </c>
      <c r="D53" t="s">
        <v>8</v>
      </c>
      <c r="E53" t="s">
        <v>8</v>
      </c>
      <c r="F53" t="s">
        <v>297</v>
      </c>
      <c r="G53" t="s">
        <v>37</v>
      </c>
      <c r="H53" t="s">
        <v>163</v>
      </c>
      <c r="I53" t="s">
        <v>184</v>
      </c>
      <c r="J53" t="s">
        <v>298</v>
      </c>
      <c r="K53" t="s">
        <v>299</v>
      </c>
      <c r="Y53" t="s">
        <v>156</v>
      </c>
      <c r="Z53" t="s">
        <v>145</v>
      </c>
      <c r="AA53" t="s">
        <v>21</v>
      </c>
      <c r="AB53" t="s">
        <v>157</v>
      </c>
      <c r="AC53" t="s">
        <v>24</v>
      </c>
      <c r="AD53" t="s">
        <v>39</v>
      </c>
      <c r="AE53" t="s">
        <v>158</v>
      </c>
      <c r="AF53" t="s">
        <v>139</v>
      </c>
      <c r="AG53" t="s">
        <v>96</v>
      </c>
      <c r="AH53" t="s">
        <v>151</v>
      </c>
      <c r="AI53" t="s">
        <v>159</v>
      </c>
      <c r="AM53" t="s">
        <v>392</v>
      </c>
      <c r="AN53" t="s">
        <v>132</v>
      </c>
      <c r="AO53" t="s">
        <v>382</v>
      </c>
      <c r="AP53" t="s">
        <v>383</v>
      </c>
      <c r="AQ53" t="s">
        <v>382</v>
      </c>
      <c r="AR53" t="s">
        <v>384</v>
      </c>
      <c r="AS53" t="s">
        <v>39</v>
      </c>
      <c r="AT53" t="s">
        <v>344</v>
      </c>
      <c r="AU53" t="s">
        <v>139</v>
      </c>
      <c r="AV53" t="s">
        <v>385</v>
      </c>
      <c r="AW53" t="s">
        <v>386</v>
      </c>
      <c r="BO53" t="s">
        <v>307</v>
      </c>
      <c r="BP53" t="s">
        <v>301</v>
      </c>
      <c r="BQ53" t="s">
        <v>26</v>
      </c>
      <c r="BR53" t="s">
        <v>127</v>
      </c>
      <c r="BS53" t="s">
        <v>6</v>
      </c>
      <c r="BT53" t="s">
        <v>139</v>
      </c>
      <c r="BU53" t="s">
        <v>308</v>
      </c>
      <c r="BV53" t="s">
        <v>51</v>
      </c>
      <c r="BW53" t="s">
        <v>62</v>
      </c>
      <c r="BX53" t="s">
        <v>309</v>
      </c>
      <c r="BY53" t="s">
        <v>46</v>
      </c>
      <c r="CC53" t="s">
        <v>441</v>
      </c>
      <c r="CQ53" t="s">
        <v>307</v>
      </c>
      <c r="CR53" t="s">
        <v>301</v>
      </c>
      <c r="CS53" t="s">
        <v>26</v>
      </c>
      <c r="CT53" t="s">
        <v>127</v>
      </c>
      <c r="CU53" t="s">
        <v>6</v>
      </c>
      <c r="CV53" t="s">
        <v>139</v>
      </c>
      <c r="CW53" t="s">
        <v>308</v>
      </c>
      <c r="CX53" t="s">
        <v>51</v>
      </c>
      <c r="CY53" t="s">
        <v>62</v>
      </c>
      <c r="CZ53" t="s">
        <v>309</v>
      </c>
      <c r="DA53" t="s">
        <v>46</v>
      </c>
      <c r="DE53" t="s">
        <v>392</v>
      </c>
      <c r="DF53" t="s">
        <v>132</v>
      </c>
      <c r="DG53" t="s">
        <v>382</v>
      </c>
      <c r="DH53" t="s">
        <v>383</v>
      </c>
      <c r="DI53" t="s">
        <v>382</v>
      </c>
      <c r="DJ53" t="s">
        <v>384</v>
      </c>
      <c r="DK53" t="s">
        <v>39</v>
      </c>
      <c r="DL53" t="s">
        <v>344</v>
      </c>
      <c r="DM53" t="s">
        <v>139</v>
      </c>
      <c r="DN53" t="s">
        <v>385</v>
      </c>
      <c r="DO53" t="s">
        <v>386</v>
      </c>
    </row>
    <row r="54" spans="1:132" x14ac:dyDescent="0.25">
      <c r="A54" t="s">
        <v>300</v>
      </c>
      <c r="B54" t="s">
        <v>26</v>
      </c>
      <c r="C54" t="s">
        <v>301</v>
      </c>
      <c r="D54" t="s">
        <v>3</v>
      </c>
      <c r="E54" t="s">
        <v>302</v>
      </c>
      <c r="F54" t="s">
        <v>303</v>
      </c>
      <c r="G54" t="s">
        <v>27</v>
      </c>
      <c r="H54" t="s">
        <v>55</v>
      </c>
      <c r="I54" t="s">
        <v>304</v>
      </c>
      <c r="J54" t="s">
        <v>305</v>
      </c>
      <c r="K54" t="s">
        <v>306</v>
      </c>
      <c r="Y54" t="s">
        <v>160</v>
      </c>
      <c r="Z54" t="s">
        <v>161</v>
      </c>
      <c r="AA54" t="s">
        <v>162</v>
      </c>
      <c r="AB54" t="s">
        <v>163</v>
      </c>
      <c r="AC54" t="s">
        <v>140</v>
      </c>
      <c r="AD54" t="s">
        <v>3</v>
      </c>
      <c r="AE54" t="s">
        <v>164</v>
      </c>
      <c r="AF54" t="s">
        <v>165</v>
      </c>
      <c r="AG54" t="s">
        <v>166</v>
      </c>
      <c r="AH54" t="s">
        <v>167</v>
      </c>
      <c r="AI54" t="s">
        <v>159</v>
      </c>
      <c r="BA54" t="s">
        <v>414</v>
      </c>
      <c r="BO54" t="s">
        <v>355</v>
      </c>
      <c r="BP54" t="s">
        <v>26</v>
      </c>
      <c r="BQ54" t="s">
        <v>88</v>
      </c>
      <c r="BR54" t="s">
        <v>344</v>
      </c>
      <c r="BS54" t="s">
        <v>327</v>
      </c>
      <c r="BT54" t="s">
        <v>163</v>
      </c>
      <c r="BU54" t="s">
        <v>8</v>
      </c>
      <c r="BV54" t="s">
        <v>292</v>
      </c>
      <c r="BW54" t="s">
        <v>6</v>
      </c>
      <c r="BX54" t="s">
        <v>28</v>
      </c>
      <c r="BY54" t="s">
        <v>86</v>
      </c>
      <c r="CC54" t="s">
        <v>150</v>
      </c>
      <c r="CD54" t="s">
        <v>151</v>
      </c>
      <c r="CE54" t="s">
        <v>140</v>
      </c>
      <c r="CF54" t="s">
        <v>145</v>
      </c>
      <c r="CG54" t="s">
        <v>152</v>
      </c>
      <c r="CH54" t="s">
        <v>153</v>
      </c>
      <c r="CI54" t="s">
        <v>154</v>
      </c>
      <c r="CJ54" t="s">
        <v>121</v>
      </c>
      <c r="CK54" t="s">
        <v>73</v>
      </c>
      <c r="CL54" t="s">
        <v>24</v>
      </c>
      <c r="CM54" t="s">
        <v>155</v>
      </c>
    </row>
    <row r="55" spans="1:132" x14ac:dyDescent="0.25">
      <c r="A55" t="s">
        <v>307</v>
      </c>
      <c r="B55" t="s">
        <v>301</v>
      </c>
      <c r="C55" t="s">
        <v>26</v>
      </c>
      <c r="D55" t="s">
        <v>127</v>
      </c>
      <c r="E55" t="s">
        <v>6</v>
      </c>
      <c r="F55" t="s">
        <v>139</v>
      </c>
      <c r="G55" t="s">
        <v>308</v>
      </c>
      <c r="H55" t="s">
        <v>51</v>
      </c>
      <c r="I55" t="s">
        <v>62</v>
      </c>
      <c r="J55" t="s">
        <v>309</v>
      </c>
      <c r="K55" t="s">
        <v>46</v>
      </c>
      <c r="Y55" t="s">
        <v>168</v>
      </c>
      <c r="Z55" t="s">
        <v>169</v>
      </c>
      <c r="AA55" t="s">
        <v>161</v>
      </c>
      <c r="AB55" t="s">
        <v>146</v>
      </c>
      <c r="AC55" t="s">
        <v>170</v>
      </c>
      <c r="AD55" t="s">
        <v>171</v>
      </c>
      <c r="AE55" t="s">
        <v>172</v>
      </c>
      <c r="AF55" t="s">
        <v>162</v>
      </c>
      <c r="AG55" t="s">
        <v>159</v>
      </c>
      <c r="AH55" t="s">
        <v>4</v>
      </c>
      <c r="AI55" t="s">
        <v>173</v>
      </c>
      <c r="AM55" s="4" t="s">
        <v>407</v>
      </c>
      <c r="BA55" t="s">
        <v>22</v>
      </c>
      <c r="BB55" t="s">
        <v>23</v>
      </c>
      <c r="BC55" t="s">
        <v>24</v>
      </c>
      <c r="BD55" t="s">
        <v>25</v>
      </c>
      <c r="BE55" t="s">
        <v>26</v>
      </c>
      <c r="BF55" t="s">
        <v>27</v>
      </c>
      <c r="BG55" t="s">
        <v>28</v>
      </c>
      <c r="BH55" t="s">
        <v>29</v>
      </c>
      <c r="BI55" t="s">
        <v>30</v>
      </c>
      <c r="BJ55" t="s">
        <v>31</v>
      </c>
      <c r="BK55" t="s">
        <v>32</v>
      </c>
      <c r="BO55" t="s">
        <v>356</v>
      </c>
      <c r="BP55" t="s">
        <v>357</v>
      </c>
      <c r="BQ55" t="s">
        <v>8</v>
      </c>
      <c r="BR55" t="s">
        <v>17</v>
      </c>
      <c r="BS55" t="s">
        <v>6</v>
      </c>
      <c r="BT55" t="s">
        <v>42</v>
      </c>
      <c r="BU55" t="s">
        <v>74</v>
      </c>
      <c r="BV55" t="s">
        <v>26</v>
      </c>
      <c r="BW55" t="s">
        <v>358</v>
      </c>
      <c r="BX55" t="s">
        <v>182</v>
      </c>
      <c r="BY55" t="s">
        <v>290</v>
      </c>
      <c r="CC55" t="s">
        <v>332</v>
      </c>
      <c r="CD55" t="s">
        <v>142</v>
      </c>
      <c r="CE55" t="s">
        <v>121</v>
      </c>
      <c r="CF55" t="s">
        <v>145</v>
      </c>
      <c r="CG55" t="s">
        <v>56</v>
      </c>
      <c r="CH55" t="s">
        <v>96</v>
      </c>
      <c r="CI55" t="s">
        <v>330</v>
      </c>
      <c r="CJ55" t="s">
        <v>333</v>
      </c>
      <c r="CK55" t="s">
        <v>185</v>
      </c>
      <c r="CL55" t="s">
        <v>49</v>
      </c>
      <c r="CM55" t="s">
        <v>334</v>
      </c>
      <c r="CQ55" t="s">
        <v>462</v>
      </c>
      <c r="DD55" t="s">
        <v>502</v>
      </c>
      <c r="DE55" t="s">
        <v>507</v>
      </c>
    </row>
    <row r="56" spans="1:132" x14ac:dyDescent="0.25">
      <c r="A56" t="s">
        <v>310</v>
      </c>
      <c r="B56" t="s">
        <v>311</v>
      </c>
      <c r="C56" t="s">
        <v>312</v>
      </c>
      <c r="D56" t="s">
        <v>245</v>
      </c>
      <c r="E56" t="s">
        <v>96</v>
      </c>
      <c r="F56" t="s">
        <v>313</v>
      </c>
      <c r="G56" t="s">
        <v>314</v>
      </c>
      <c r="H56" t="s">
        <v>315</v>
      </c>
      <c r="I56" t="s">
        <v>316</v>
      </c>
      <c r="J56" t="s">
        <v>217</v>
      </c>
      <c r="K56" t="s">
        <v>125</v>
      </c>
      <c r="Y56" t="s">
        <v>174</v>
      </c>
      <c r="Z56" t="s">
        <v>37</v>
      </c>
      <c r="AA56" t="s">
        <v>147</v>
      </c>
      <c r="AB56" t="s">
        <v>175</v>
      </c>
      <c r="AC56" t="s">
        <v>149</v>
      </c>
      <c r="AD56" t="s">
        <v>170</v>
      </c>
      <c r="AE56" t="s">
        <v>176</v>
      </c>
      <c r="AF56" t="s">
        <v>177</v>
      </c>
      <c r="AG56" t="s">
        <v>178</v>
      </c>
      <c r="AH56" t="s">
        <v>179</v>
      </c>
      <c r="AI56" t="s">
        <v>180</v>
      </c>
      <c r="AM56" t="s">
        <v>22</v>
      </c>
      <c r="AN56" t="s">
        <v>23</v>
      </c>
      <c r="AO56" t="s">
        <v>24</v>
      </c>
      <c r="AP56" t="s">
        <v>25</v>
      </c>
      <c r="AQ56" t="s">
        <v>26</v>
      </c>
      <c r="AR56" t="s">
        <v>27</v>
      </c>
      <c r="AS56" t="s">
        <v>28</v>
      </c>
      <c r="AT56" t="s">
        <v>29</v>
      </c>
      <c r="AU56" t="s">
        <v>30</v>
      </c>
      <c r="AV56" t="s">
        <v>31</v>
      </c>
      <c r="AW56" t="s">
        <v>32</v>
      </c>
      <c r="BA56" t="s">
        <v>33</v>
      </c>
      <c r="BB56" t="s">
        <v>34</v>
      </c>
      <c r="BC56" t="s">
        <v>35</v>
      </c>
      <c r="BD56" t="s">
        <v>36</v>
      </c>
      <c r="BE56" t="s">
        <v>23</v>
      </c>
      <c r="BF56" t="s">
        <v>37</v>
      </c>
      <c r="BG56" t="s">
        <v>26</v>
      </c>
      <c r="BH56" t="s">
        <v>38</v>
      </c>
      <c r="BI56" t="s">
        <v>27</v>
      </c>
      <c r="BJ56" t="s">
        <v>39</v>
      </c>
      <c r="BK56" t="s">
        <v>40</v>
      </c>
      <c r="BO56" t="s">
        <v>371</v>
      </c>
      <c r="BP56" t="s">
        <v>132</v>
      </c>
      <c r="BQ56" t="s">
        <v>6</v>
      </c>
      <c r="BR56" t="s">
        <v>344</v>
      </c>
      <c r="BS56" t="s">
        <v>372</v>
      </c>
      <c r="BT56" t="s">
        <v>55</v>
      </c>
      <c r="BU56" t="s">
        <v>64</v>
      </c>
      <c r="BV56" t="s">
        <v>373</v>
      </c>
      <c r="BW56" t="s">
        <v>26</v>
      </c>
      <c r="BX56" t="s">
        <v>374</v>
      </c>
      <c r="BY56" t="s">
        <v>188</v>
      </c>
      <c r="CQ56" t="s">
        <v>150</v>
      </c>
      <c r="CR56" t="s">
        <v>151</v>
      </c>
      <c r="CS56" t="s">
        <v>140</v>
      </c>
      <c r="CT56" t="s">
        <v>145</v>
      </c>
      <c r="CU56" t="s">
        <v>152</v>
      </c>
      <c r="CV56" t="s">
        <v>153</v>
      </c>
      <c r="CW56" t="s">
        <v>154</v>
      </c>
      <c r="CX56" t="s">
        <v>121</v>
      </c>
      <c r="CY56" t="s">
        <v>73</v>
      </c>
      <c r="CZ56" t="s">
        <v>24</v>
      </c>
      <c r="DA56" t="s">
        <v>155</v>
      </c>
      <c r="DD56">
        <f>7/8*100</f>
        <v>87.5</v>
      </c>
      <c r="DE56" t="s">
        <v>77</v>
      </c>
      <c r="DF56" t="s">
        <v>78</v>
      </c>
      <c r="DG56" t="s">
        <v>26</v>
      </c>
      <c r="DH56" t="s">
        <v>6</v>
      </c>
      <c r="DI56" t="s">
        <v>43</v>
      </c>
      <c r="DJ56" t="s">
        <v>79</v>
      </c>
      <c r="DK56" t="s">
        <v>80</v>
      </c>
      <c r="DL56" t="s">
        <v>25</v>
      </c>
      <c r="DM56" t="s">
        <v>62</v>
      </c>
      <c r="DN56" t="s">
        <v>42</v>
      </c>
      <c r="DO56" t="s">
        <v>81</v>
      </c>
    </row>
    <row r="57" spans="1:132" x14ac:dyDescent="0.25">
      <c r="A57" t="s">
        <v>317</v>
      </c>
      <c r="B57" t="s">
        <v>318</v>
      </c>
      <c r="C57" t="s">
        <v>319</v>
      </c>
      <c r="D57" t="s">
        <v>282</v>
      </c>
      <c r="E57" t="s">
        <v>320</v>
      </c>
      <c r="F57" t="s">
        <v>279</v>
      </c>
      <c r="G57" t="s">
        <v>242</v>
      </c>
      <c r="H57" t="s">
        <v>26</v>
      </c>
      <c r="I57" t="s">
        <v>27</v>
      </c>
      <c r="J57" t="s">
        <v>49</v>
      </c>
      <c r="K57" t="s">
        <v>105</v>
      </c>
      <c r="Y57" t="s">
        <v>186</v>
      </c>
      <c r="Z57" t="s">
        <v>183</v>
      </c>
      <c r="AA57" t="s">
        <v>187</v>
      </c>
      <c r="AB57" t="s">
        <v>182</v>
      </c>
      <c r="AC57" t="s">
        <v>81</v>
      </c>
      <c r="AD57" t="s">
        <v>24</v>
      </c>
      <c r="AE57" t="s">
        <v>27</v>
      </c>
      <c r="AF57" t="s">
        <v>163</v>
      </c>
      <c r="AG57" t="s">
        <v>36</v>
      </c>
      <c r="AH57" t="s">
        <v>188</v>
      </c>
      <c r="AI57" t="s">
        <v>21</v>
      </c>
      <c r="AM57" t="s">
        <v>33</v>
      </c>
      <c r="AN57" t="s">
        <v>34</v>
      </c>
      <c r="AO57" t="s">
        <v>35</v>
      </c>
      <c r="AP57" t="s">
        <v>36</v>
      </c>
      <c r="AQ57" t="s">
        <v>23</v>
      </c>
      <c r="AR57" t="s">
        <v>37</v>
      </c>
      <c r="AS57" t="s">
        <v>26</v>
      </c>
      <c r="AT57" t="s">
        <v>38</v>
      </c>
      <c r="AU57" t="s">
        <v>27</v>
      </c>
      <c r="AV57" t="s">
        <v>39</v>
      </c>
      <c r="AW57" t="s">
        <v>40</v>
      </c>
      <c r="BA57" t="s">
        <v>104</v>
      </c>
      <c r="BB57" t="s">
        <v>26</v>
      </c>
      <c r="BC57" t="s">
        <v>54</v>
      </c>
      <c r="BD57" t="s">
        <v>105</v>
      </c>
      <c r="BE57" t="s">
        <v>106</v>
      </c>
      <c r="BF57" t="s">
        <v>107</v>
      </c>
      <c r="BG57" t="s">
        <v>8</v>
      </c>
      <c r="BH57" t="s">
        <v>73</v>
      </c>
      <c r="BI57" t="s">
        <v>27</v>
      </c>
      <c r="BJ57" t="s">
        <v>108</v>
      </c>
      <c r="BK57" t="s">
        <v>109</v>
      </c>
      <c r="CC57" t="s">
        <v>442</v>
      </c>
      <c r="CQ57" t="s">
        <v>332</v>
      </c>
      <c r="CR57" t="s">
        <v>142</v>
      </c>
      <c r="CS57" t="s">
        <v>121</v>
      </c>
      <c r="CT57" t="s">
        <v>145</v>
      </c>
      <c r="CU57" t="s">
        <v>56</v>
      </c>
      <c r="CV57" t="s">
        <v>96</v>
      </c>
      <c r="CW57" t="s">
        <v>330</v>
      </c>
      <c r="CX57" t="s">
        <v>333</v>
      </c>
      <c r="CY57" t="s">
        <v>185</v>
      </c>
      <c r="CZ57" t="s">
        <v>49</v>
      </c>
      <c r="DA57" t="s">
        <v>334</v>
      </c>
    </row>
    <row r="58" spans="1:132" x14ac:dyDescent="0.25">
      <c r="A58" t="s">
        <v>321</v>
      </c>
      <c r="B58" t="s">
        <v>204</v>
      </c>
      <c r="C58" t="s">
        <v>199</v>
      </c>
      <c r="D58" t="s">
        <v>26</v>
      </c>
      <c r="E58" t="s">
        <v>139</v>
      </c>
      <c r="F58" t="s">
        <v>48</v>
      </c>
      <c r="G58" t="s">
        <v>148</v>
      </c>
      <c r="H58" t="s">
        <v>52</v>
      </c>
      <c r="I58" t="s">
        <v>322</v>
      </c>
      <c r="J58" t="s">
        <v>91</v>
      </c>
      <c r="K58" t="s">
        <v>4</v>
      </c>
      <c r="Y58" t="s">
        <v>189</v>
      </c>
      <c r="Z58" t="s">
        <v>190</v>
      </c>
      <c r="AA58" t="s">
        <v>191</v>
      </c>
      <c r="AB58" t="s">
        <v>187</v>
      </c>
      <c r="AC58" t="s">
        <v>192</v>
      </c>
      <c r="AD58" t="s">
        <v>193</v>
      </c>
      <c r="AE58" t="s">
        <v>31</v>
      </c>
      <c r="AF58" t="s">
        <v>183</v>
      </c>
      <c r="AG58" t="s">
        <v>36</v>
      </c>
      <c r="AH58" t="s">
        <v>117</v>
      </c>
      <c r="AI58" t="s">
        <v>194</v>
      </c>
      <c r="AM58" t="s">
        <v>104</v>
      </c>
      <c r="AN58" t="s">
        <v>26</v>
      </c>
      <c r="AO58" t="s">
        <v>54</v>
      </c>
      <c r="AP58" t="s">
        <v>105</v>
      </c>
      <c r="AQ58" t="s">
        <v>106</v>
      </c>
      <c r="AR58" t="s">
        <v>107</v>
      </c>
      <c r="AS58" t="s">
        <v>8</v>
      </c>
      <c r="AT58" t="s">
        <v>73</v>
      </c>
      <c r="AU58" t="s">
        <v>27</v>
      </c>
      <c r="AV58" t="s">
        <v>108</v>
      </c>
      <c r="AW58" t="s">
        <v>109</v>
      </c>
      <c r="BA58" t="s">
        <v>137</v>
      </c>
      <c r="BB58" t="s">
        <v>138</v>
      </c>
      <c r="BC58" t="s">
        <v>139</v>
      </c>
      <c r="BD58" t="s">
        <v>140</v>
      </c>
      <c r="BE58" t="s">
        <v>121</v>
      </c>
      <c r="BF58" t="s">
        <v>121</v>
      </c>
      <c r="BG58" t="s">
        <v>141</v>
      </c>
      <c r="BH58" t="s">
        <v>26</v>
      </c>
      <c r="BI58" t="s">
        <v>142</v>
      </c>
      <c r="BJ58" t="s">
        <v>143</v>
      </c>
      <c r="BK58" t="s">
        <v>27</v>
      </c>
      <c r="BO58" t="s">
        <v>426</v>
      </c>
      <c r="CC58" t="s">
        <v>71</v>
      </c>
      <c r="CD58" t="s">
        <v>72</v>
      </c>
      <c r="CE58" t="s">
        <v>37</v>
      </c>
      <c r="CF58" t="s">
        <v>26</v>
      </c>
      <c r="CG58" t="s">
        <v>73</v>
      </c>
      <c r="CH58" t="s">
        <v>43</v>
      </c>
      <c r="CI58" t="s">
        <v>60</v>
      </c>
      <c r="CJ58" t="s">
        <v>6</v>
      </c>
      <c r="CK58" t="s">
        <v>74</v>
      </c>
      <c r="CL58" t="s">
        <v>75</v>
      </c>
      <c r="CM58" t="s">
        <v>76</v>
      </c>
      <c r="DD58" t="s">
        <v>504</v>
      </c>
      <c r="DE58" t="s">
        <v>484</v>
      </c>
    </row>
    <row r="59" spans="1:132" x14ac:dyDescent="0.25">
      <c r="A59" t="s">
        <v>323</v>
      </c>
      <c r="B59" t="s">
        <v>318</v>
      </c>
      <c r="C59" t="s">
        <v>26</v>
      </c>
      <c r="D59" t="s">
        <v>324</v>
      </c>
      <c r="E59" t="s">
        <v>282</v>
      </c>
      <c r="F59" t="s">
        <v>4</v>
      </c>
      <c r="G59" t="s">
        <v>325</v>
      </c>
      <c r="H59" t="s">
        <v>326</v>
      </c>
      <c r="I59" t="s">
        <v>324</v>
      </c>
      <c r="J59" t="s">
        <v>241</v>
      </c>
      <c r="K59" t="s">
        <v>327</v>
      </c>
      <c r="Y59" t="s">
        <v>195</v>
      </c>
      <c r="Z59" t="s">
        <v>196</v>
      </c>
      <c r="AA59" t="s">
        <v>197</v>
      </c>
      <c r="AB59" t="s">
        <v>187</v>
      </c>
      <c r="AC59" t="s">
        <v>173</v>
      </c>
      <c r="AD59" t="s">
        <v>198</v>
      </c>
      <c r="AE59" t="s">
        <v>167</v>
      </c>
      <c r="AF59" t="s">
        <v>64</v>
      </c>
      <c r="AG59" t="s">
        <v>199</v>
      </c>
      <c r="AH59" t="s">
        <v>200</v>
      </c>
      <c r="AI59" t="s">
        <v>201</v>
      </c>
      <c r="AM59" t="s">
        <v>129</v>
      </c>
      <c r="AN59" t="s">
        <v>26</v>
      </c>
      <c r="AO59" t="s">
        <v>130</v>
      </c>
      <c r="AP59" t="s">
        <v>131</v>
      </c>
      <c r="AQ59" t="s">
        <v>27</v>
      </c>
      <c r="AR59" t="s">
        <v>132</v>
      </c>
      <c r="AS59" t="s">
        <v>133</v>
      </c>
      <c r="AT59" t="s">
        <v>134</v>
      </c>
      <c r="AU59" t="s">
        <v>6</v>
      </c>
      <c r="AV59" t="s">
        <v>135</v>
      </c>
      <c r="AW59" t="s">
        <v>136</v>
      </c>
      <c r="BA59" t="s">
        <v>181</v>
      </c>
      <c r="BB59" t="s">
        <v>37</v>
      </c>
      <c r="BC59" t="s">
        <v>8</v>
      </c>
      <c r="BD59" t="s">
        <v>182</v>
      </c>
      <c r="BE59" t="s">
        <v>183</v>
      </c>
      <c r="BF59" t="s">
        <v>184</v>
      </c>
      <c r="BG59" t="s">
        <v>185</v>
      </c>
      <c r="BH59" t="s">
        <v>139</v>
      </c>
      <c r="BI59" t="s">
        <v>27</v>
      </c>
      <c r="BJ59" t="s">
        <v>26</v>
      </c>
      <c r="BK59" t="s">
        <v>24</v>
      </c>
      <c r="BO59" t="s">
        <v>22</v>
      </c>
      <c r="BP59" t="s">
        <v>23</v>
      </c>
      <c r="BQ59" t="s">
        <v>24</v>
      </c>
      <c r="BR59" t="s">
        <v>25</v>
      </c>
      <c r="BS59" t="s">
        <v>26</v>
      </c>
      <c r="BT59" t="s">
        <v>27</v>
      </c>
      <c r="BU59" t="s">
        <v>28</v>
      </c>
      <c r="BV59" t="s">
        <v>29</v>
      </c>
      <c r="BW59" t="s">
        <v>30</v>
      </c>
      <c r="BX59" t="s">
        <v>31</v>
      </c>
      <c r="BY59" t="s">
        <v>32</v>
      </c>
      <c r="CC59" t="s">
        <v>89</v>
      </c>
      <c r="CD59" t="s">
        <v>90</v>
      </c>
      <c r="CE59" t="s">
        <v>2</v>
      </c>
      <c r="CF59" t="s">
        <v>91</v>
      </c>
      <c r="CG59" t="s">
        <v>92</v>
      </c>
      <c r="CH59" t="s">
        <v>26</v>
      </c>
      <c r="CI59" t="s">
        <v>6</v>
      </c>
      <c r="CJ59" t="s">
        <v>74</v>
      </c>
      <c r="CK59" t="s">
        <v>79</v>
      </c>
      <c r="CL59" t="s">
        <v>93</v>
      </c>
      <c r="CM59" t="s">
        <v>94</v>
      </c>
      <c r="CQ59" t="s">
        <v>463</v>
      </c>
      <c r="DD59">
        <f>5/8*100</f>
        <v>62.5</v>
      </c>
      <c r="DE59" t="s">
        <v>307</v>
      </c>
      <c r="DF59" t="s">
        <v>301</v>
      </c>
      <c r="DG59" t="s">
        <v>26</v>
      </c>
      <c r="DH59" t="s">
        <v>127</v>
      </c>
      <c r="DI59" t="s">
        <v>6</v>
      </c>
      <c r="DJ59" t="s">
        <v>139</v>
      </c>
      <c r="DK59" t="s">
        <v>308</v>
      </c>
      <c r="DL59" t="s">
        <v>51</v>
      </c>
      <c r="DM59" t="s">
        <v>62</v>
      </c>
      <c r="DN59" t="s">
        <v>309</v>
      </c>
      <c r="DO59" t="s">
        <v>46</v>
      </c>
    </row>
    <row r="60" spans="1:132" x14ac:dyDescent="0.25">
      <c r="A60" t="s">
        <v>328</v>
      </c>
      <c r="B60" t="s">
        <v>26</v>
      </c>
      <c r="C60" t="s">
        <v>329</v>
      </c>
      <c r="D60" t="s">
        <v>121</v>
      </c>
      <c r="E60" t="s">
        <v>117</v>
      </c>
      <c r="F60" t="s">
        <v>27</v>
      </c>
      <c r="G60" t="s">
        <v>183</v>
      </c>
      <c r="H60" t="s">
        <v>330</v>
      </c>
      <c r="I60" t="s">
        <v>4</v>
      </c>
      <c r="J60" t="s">
        <v>327</v>
      </c>
      <c r="K60" t="s">
        <v>194</v>
      </c>
      <c r="Y60" t="s">
        <v>202</v>
      </c>
      <c r="Z60" t="s">
        <v>203</v>
      </c>
      <c r="AA60" t="s">
        <v>199</v>
      </c>
      <c r="AB60" t="s">
        <v>38</v>
      </c>
      <c r="AC60" t="s">
        <v>204</v>
      </c>
      <c r="AD60" t="s">
        <v>132</v>
      </c>
      <c r="AE60" t="s">
        <v>203</v>
      </c>
      <c r="AF60" t="s">
        <v>24</v>
      </c>
      <c r="AG60" t="s">
        <v>28</v>
      </c>
      <c r="AH60" t="s">
        <v>194</v>
      </c>
      <c r="AI60" t="s">
        <v>27</v>
      </c>
      <c r="AM60" t="s">
        <v>137</v>
      </c>
      <c r="AN60" t="s">
        <v>138</v>
      </c>
      <c r="AO60" t="s">
        <v>139</v>
      </c>
      <c r="AP60" t="s">
        <v>140</v>
      </c>
      <c r="AQ60" t="s">
        <v>121</v>
      </c>
      <c r="AR60" t="s">
        <v>121</v>
      </c>
      <c r="AS60" t="s">
        <v>141</v>
      </c>
      <c r="AT60" t="s">
        <v>26</v>
      </c>
      <c r="AU60" t="s">
        <v>142</v>
      </c>
      <c r="AV60" t="s">
        <v>143</v>
      </c>
      <c r="AW60" t="s">
        <v>27</v>
      </c>
      <c r="BA60" t="s">
        <v>218</v>
      </c>
      <c r="BB60" t="s">
        <v>26</v>
      </c>
      <c r="BC60" t="s">
        <v>219</v>
      </c>
      <c r="BD60" t="s">
        <v>206</v>
      </c>
      <c r="BE60" t="s">
        <v>220</v>
      </c>
      <c r="BF60" t="s">
        <v>207</v>
      </c>
      <c r="BG60" t="s">
        <v>221</v>
      </c>
      <c r="BH60" t="s">
        <v>209</v>
      </c>
      <c r="BI60" t="s">
        <v>27</v>
      </c>
      <c r="BJ60" t="s">
        <v>222</v>
      </c>
      <c r="BK60" t="s">
        <v>208</v>
      </c>
      <c r="BO60" t="s">
        <v>33</v>
      </c>
      <c r="BP60" t="s">
        <v>34</v>
      </c>
      <c r="BQ60" t="s">
        <v>35</v>
      </c>
      <c r="BR60" t="s">
        <v>36</v>
      </c>
      <c r="BS60" t="s">
        <v>23</v>
      </c>
      <c r="BT60" t="s">
        <v>37</v>
      </c>
      <c r="BU60" t="s">
        <v>26</v>
      </c>
      <c r="BV60" t="s">
        <v>38</v>
      </c>
      <c r="BW60" t="s">
        <v>27</v>
      </c>
      <c r="BX60" t="s">
        <v>39</v>
      </c>
      <c r="BY60" t="s">
        <v>40</v>
      </c>
      <c r="CC60" t="s">
        <v>355</v>
      </c>
      <c r="CD60" t="s">
        <v>26</v>
      </c>
      <c r="CE60" t="s">
        <v>88</v>
      </c>
      <c r="CF60" t="s">
        <v>344</v>
      </c>
      <c r="CG60" t="s">
        <v>327</v>
      </c>
      <c r="CH60" t="s">
        <v>163</v>
      </c>
      <c r="CI60" t="s">
        <v>8</v>
      </c>
      <c r="CJ60" t="s">
        <v>292</v>
      </c>
      <c r="CK60" t="s">
        <v>6</v>
      </c>
      <c r="CL60" t="s">
        <v>28</v>
      </c>
      <c r="CM60" t="s">
        <v>86</v>
      </c>
      <c r="CQ60" t="s">
        <v>71</v>
      </c>
      <c r="CR60" t="s">
        <v>72</v>
      </c>
      <c r="CS60" t="s">
        <v>37</v>
      </c>
      <c r="CT60" t="s">
        <v>26</v>
      </c>
      <c r="CU60" t="s">
        <v>73</v>
      </c>
      <c r="CV60" t="s">
        <v>43</v>
      </c>
      <c r="CW60" t="s">
        <v>60</v>
      </c>
      <c r="CX60" t="s">
        <v>6</v>
      </c>
      <c r="CY60" t="s">
        <v>74</v>
      </c>
      <c r="CZ60" t="s">
        <v>75</v>
      </c>
      <c r="DA60" t="s">
        <v>76</v>
      </c>
    </row>
    <row r="61" spans="1:132" x14ac:dyDescent="0.25">
      <c r="A61" t="s">
        <v>331</v>
      </c>
      <c r="B61" t="s">
        <v>121</v>
      </c>
      <c r="C61" t="s">
        <v>242</v>
      </c>
      <c r="D61" t="s">
        <v>241</v>
      </c>
      <c r="E61" t="s">
        <v>52</v>
      </c>
      <c r="F61" t="s">
        <v>330</v>
      </c>
      <c r="G61" t="s">
        <v>4</v>
      </c>
      <c r="H61" t="s">
        <v>26</v>
      </c>
      <c r="I61" t="s">
        <v>245</v>
      </c>
      <c r="J61" t="s">
        <v>28</v>
      </c>
      <c r="K61" t="s">
        <v>277</v>
      </c>
      <c r="Y61" t="s">
        <v>205</v>
      </c>
      <c r="Z61" t="s">
        <v>206</v>
      </c>
      <c r="AA61" t="s">
        <v>207</v>
      </c>
      <c r="AB61" t="s">
        <v>27</v>
      </c>
      <c r="AC61" t="s">
        <v>149</v>
      </c>
      <c r="AD61" t="s">
        <v>208</v>
      </c>
      <c r="AE61" t="s">
        <v>159</v>
      </c>
      <c r="AF61" t="s">
        <v>209</v>
      </c>
      <c r="AG61" t="s">
        <v>182</v>
      </c>
      <c r="AH61" t="s">
        <v>210</v>
      </c>
      <c r="AI61" t="s">
        <v>206</v>
      </c>
      <c r="AM61" t="s">
        <v>181</v>
      </c>
      <c r="AN61" t="s">
        <v>37</v>
      </c>
      <c r="AO61" t="s">
        <v>8</v>
      </c>
      <c r="AP61" t="s">
        <v>182</v>
      </c>
      <c r="AQ61" t="s">
        <v>183</v>
      </c>
      <c r="AR61" t="s">
        <v>184</v>
      </c>
      <c r="AS61" t="s">
        <v>185</v>
      </c>
      <c r="AT61" t="s">
        <v>139</v>
      </c>
      <c r="AU61" t="s">
        <v>27</v>
      </c>
      <c r="AV61" t="s">
        <v>26</v>
      </c>
      <c r="AW61" t="s">
        <v>24</v>
      </c>
      <c r="BA61" t="s">
        <v>235</v>
      </c>
      <c r="BB61" t="s">
        <v>1</v>
      </c>
      <c r="BC61" t="s">
        <v>132</v>
      </c>
      <c r="BD61" t="s">
        <v>52</v>
      </c>
      <c r="BE61" t="s">
        <v>236</v>
      </c>
      <c r="BF61" t="s">
        <v>26</v>
      </c>
      <c r="BG61" t="s">
        <v>237</v>
      </c>
      <c r="BH61" t="s">
        <v>210</v>
      </c>
      <c r="BI61" t="s">
        <v>27</v>
      </c>
      <c r="BJ61" t="s">
        <v>121</v>
      </c>
      <c r="BK61" t="s">
        <v>207</v>
      </c>
      <c r="BO61" t="s">
        <v>104</v>
      </c>
      <c r="BP61" t="s">
        <v>26</v>
      </c>
      <c r="BQ61" t="s">
        <v>54</v>
      </c>
      <c r="BR61" t="s">
        <v>105</v>
      </c>
      <c r="BS61" t="s">
        <v>106</v>
      </c>
      <c r="BT61" t="s">
        <v>107</v>
      </c>
      <c r="BU61" t="s">
        <v>8</v>
      </c>
      <c r="BV61" t="s">
        <v>73</v>
      </c>
      <c r="BW61" t="s">
        <v>27</v>
      </c>
      <c r="BX61" t="s">
        <v>108</v>
      </c>
      <c r="BY61" t="s">
        <v>109</v>
      </c>
      <c r="CC61" t="s">
        <v>356</v>
      </c>
      <c r="CD61" t="s">
        <v>357</v>
      </c>
      <c r="CE61" t="s">
        <v>8</v>
      </c>
      <c r="CF61" t="s">
        <v>17</v>
      </c>
      <c r="CG61" t="s">
        <v>6</v>
      </c>
      <c r="CH61" t="s">
        <v>42</v>
      </c>
      <c r="CI61" t="s">
        <v>74</v>
      </c>
      <c r="CJ61" t="s">
        <v>26</v>
      </c>
      <c r="CK61" t="s">
        <v>358</v>
      </c>
      <c r="CL61" t="s">
        <v>182</v>
      </c>
      <c r="CM61" t="s">
        <v>290</v>
      </c>
      <c r="CQ61" t="s">
        <v>89</v>
      </c>
      <c r="CR61" t="s">
        <v>90</v>
      </c>
      <c r="CS61" t="s">
        <v>2</v>
      </c>
      <c r="CT61" t="s">
        <v>91</v>
      </c>
      <c r="CU61" t="s">
        <v>92</v>
      </c>
      <c r="CV61" t="s">
        <v>26</v>
      </c>
      <c r="CW61" t="s">
        <v>6</v>
      </c>
      <c r="CX61" t="s">
        <v>74</v>
      </c>
      <c r="CY61" t="s">
        <v>79</v>
      </c>
      <c r="CZ61" t="s">
        <v>93</v>
      </c>
      <c r="DA61" t="s">
        <v>94</v>
      </c>
      <c r="DD61" t="s">
        <v>509</v>
      </c>
      <c r="DE61" t="s">
        <v>485</v>
      </c>
    </row>
    <row r="62" spans="1:132" x14ac:dyDescent="0.25">
      <c r="A62" t="s">
        <v>332</v>
      </c>
      <c r="B62" t="s">
        <v>142</v>
      </c>
      <c r="C62" t="s">
        <v>121</v>
      </c>
      <c r="D62" t="s">
        <v>145</v>
      </c>
      <c r="E62" t="s">
        <v>56</v>
      </c>
      <c r="F62" t="s">
        <v>96</v>
      </c>
      <c r="G62" t="s">
        <v>330</v>
      </c>
      <c r="H62" t="s">
        <v>333</v>
      </c>
      <c r="I62" t="s">
        <v>185</v>
      </c>
      <c r="J62" t="s">
        <v>49</v>
      </c>
      <c r="K62" t="s">
        <v>334</v>
      </c>
      <c r="Y62" t="s">
        <v>391</v>
      </c>
      <c r="Z62" t="s">
        <v>211</v>
      </c>
      <c r="AA62" t="s">
        <v>210</v>
      </c>
      <c r="AB62" t="s">
        <v>207</v>
      </c>
      <c r="AC62" t="s">
        <v>212</v>
      </c>
      <c r="AD62" t="s">
        <v>142</v>
      </c>
      <c r="AE62" t="s">
        <v>213</v>
      </c>
      <c r="AF62" t="s">
        <v>214</v>
      </c>
      <c r="AG62" t="s">
        <v>215</v>
      </c>
      <c r="AH62" t="s">
        <v>216</v>
      </c>
      <c r="AI62" t="s">
        <v>217</v>
      </c>
      <c r="AM62" t="s">
        <v>218</v>
      </c>
      <c r="AN62" t="s">
        <v>26</v>
      </c>
      <c r="AO62" t="s">
        <v>219</v>
      </c>
      <c r="AP62" t="s">
        <v>206</v>
      </c>
      <c r="AQ62" t="s">
        <v>220</v>
      </c>
      <c r="AR62" t="s">
        <v>207</v>
      </c>
      <c r="AS62" t="s">
        <v>221</v>
      </c>
      <c r="AT62" t="s">
        <v>209</v>
      </c>
      <c r="AU62" t="s">
        <v>27</v>
      </c>
      <c r="AV62" t="s">
        <v>222</v>
      </c>
      <c r="AW62" t="s">
        <v>208</v>
      </c>
      <c r="BA62" t="s">
        <v>256</v>
      </c>
      <c r="BB62" t="s">
        <v>37</v>
      </c>
      <c r="BC62" t="s">
        <v>183</v>
      </c>
      <c r="BD62" t="s">
        <v>26</v>
      </c>
      <c r="BE62" t="s">
        <v>27</v>
      </c>
      <c r="BF62" t="s">
        <v>148</v>
      </c>
      <c r="BG62" t="s">
        <v>105</v>
      </c>
      <c r="BH62" t="s">
        <v>79</v>
      </c>
      <c r="BI62" t="s">
        <v>28</v>
      </c>
      <c r="BJ62" t="s">
        <v>62</v>
      </c>
      <c r="BK62" t="s">
        <v>73</v>
      </c>
      <c r="BO62" t="s">
        <v>181</v>
      </c>
      <c r="BP62" t="s">
        <v>37</v>
      </c>
      <c r="BQ62" t="s">
        <v>8</v>
      </c>
      <c r="BR62" t="s">
        <v>182</v>
      </c>
      <c r="BS62" t="s">
        <v>183</v>
      </c>
      <c r="BT62" t="s">
        <v>184</v>
      </c>
      <c r="BU62" t="s">
        <v>185</v>
      </c>
      <c r="BV62" t="s">
        <v>139</v>
      </c>
      <c r="BW62" t="s">
        <v>27</v>
      </c>
      <c r="BX62" t="s">
        <v>26</v>
      </c>
      <c r="BY62" t="s">
        <v>24</v>
      </c>
      <c r="CC62" t="s">
        <v>371</v>
      </c>
      <c r="CD62" t="s">
        <v>132</v>
      </c>
      <c r="CE62" t="s">
        <v>6</v>
      </c>
      <c r="CF62" t="s">
        <v>344</v>
      </c>
      <c r="CG62" t="s">
        <v>372</v>
      </c>
      <c r="CH62" t="s">
        <v>55</v>
      </c>
      <c r="CI62" t="s">
        <v>64</v>
      </c>
      <c r="CJ62" t="s">
        <v>373</v>
      </c>
      <c r="CK62" t="s">
        <v>26</v>
      </c>
      <c r="CL62" t="s">
        <v>374</v>
      </c>
      <c r="CM62" t="s">
        <v>188</v>
      </c>
      <c r="CQ62" t="s">
        <v>355</v>
      </c>
      <c r="CR62" t="s">
        <v>26</v>
      </c>
      <c r="CS62" t="s">
        <v>88</v>
      </c>
      <c r="CT62" t="s">
        <v>344</v>
      </c>
      <c r="CU62" t="s">
        <v>327</v>
      </c>
      <c r="CV62" t="s">
        <v>163</v>
      </c>
      <c r="CW62" t="s">
        <v>8</v>
      </c>
      <c r="CX62" t="s">
        <v>292</v>
      </c>
      <c r="CY62" t="s">
        <v>6</v>
      </c>
      <c r="CZ62" t="s">
        <v>28</v>
      </c>
      <c r="DA62" t="s">
        <v>86</v>
      </c>
      <c r="DE62" t="s">
        <v>150</v>
      </c>
      <c r="DF62" t="s">
        <v>151</v>
      </c>
      <c r="DG62" t="s">
        <v>140</v>
      </c>
      <c r="DH62" t="s">
        <v>145</v>
      </c>
      <c r="DI62" t="s">
        <v>152</v>
      </c>
      <c r="DJ62" t="s">
        <v>153</v>
      </c>
      <c r="DK62" t="s">
        <v>154</v>
      </c>
      <c r="DL62" t="s">
        <v>121</v>
      </c>
      <c r="DM62" t="s">
        <v>73</v>
      </c>
      <c r="DN62" t="s">
        <v>24</v>
      </c>
      <c r="DO62" t="s">
        <v>155</v>
      </c>
    </row>
    <row r="63" spans="1:132" x14ac:dyDescent="0.25">
      <c r="A63" t="s">
        <v>335</v>
      </c>
      <c r="B63" t="s">
        <v>6</v>
      </c>
      <c r="C63" t="s">
        <v>330</v>
      </c>
      <c r="D63" t="s">
        <v>15</v>
      </c>
      <c r="E63" t="s">
        <v>76</v>
      </c>
      <c r="F63" t="s">
        <v>37</v>
      </c>
      <c r="G63" t="s">
        <v>27</v>
      </c>
      <c r="H63" t="s">
        <v>336</v>
      </c>
      <c r="I63" t="s">
        <v>125</v>
      </c>
      <c r="J63" t="s">
        <v>337</v>
      </c>
      <c r="K63" t="s">
        <v>276</v>
      </c>
      <c r="Y63" t="s">
        <v>223</v>
      </c>
      <c r="Z63" t="s">
        <v>224</v>
      </c>
      <c r="AA63" t="s">
        <v>225</v>
      </c>
      <c r="AB63" t="s">
        <v>226</v>
      </c>
      <c r="AC63" t="s">
        <v>207</v>
      </c>
      <c r="AD63" t="s">
        <v>227</v>
      </c>
      <c r="AE63" t="s">
        <v>228</v>
      </c>
      <c r="AF63" t="s">
        <v>229</v>
      </c>
      <c r="AG63" t="s">
        <v>209</v>
      </c>
      <c r="AH63" t="s">
        <v>28</v>
      </c>
      <c r="AI63" t="s">
        <v>230</v>
      </c>
      <c r="AM63" t="s">
        <v>235</v>
      </c>
      <c r="AN63" t="s">
        <v>1</v>
      </c>
      <c r="AO63" t="s">
        <v>132</v>
      </c>
      <c r="AP63" t="s">
        <v>52</v>
      </c>
      <c r="AQ63" t="s">
        <v>236</v>
      </c>
      <c r="AR63" t="s">
        <v>26</v>
      </c>
      <c r="AS63" t="s">
        <v>237</v>
      </c>
      <c r="AT63" t="s">
        <v>210</v>
      </c>
      <c r="AU63" t="s">
        <v>27</v>
      </c>
      <c r="AV63" t="s">
        <v>121</v>
      </c>
      <c r="AW63" t="s">
        <v>207</v>
      </c>
      <c r="BA63" t="s">
        <v>269</v>
      </c>
      <c r="BB63" t="s">
        <v>139</v>
      </c>
      <c r="BC63" t="s">
        <v>270</v>
      </c>
      <c r="BD63" t="s">
        <v>249</v>
      </c>
      <c r="BE63" t="s">
        <v>37</v>
      </c>
      <c r="BF63" t="s">
        <v>268</v>
      </c>
      <c r="BG63" t="s">
        <v>26</v>
      </c>
      <c r="BH63" t="s">
        <v>20</v>
      </c>
      <c r="BI63" t="s">
        <v>27</v>
      </c>
      <c r="BJ63" t="s">
        <v>271</v>
      </c>
      <c r="BK63" t="s">
        <v>62</v>
      </c>
      <c r="BO63" t="s">
        <v>218</v>
      </c>
      <c r="BP63" t="s">
        <v>26</v>
      </c>
      <c r="BQ63" t="s">
        <v>219</v>
      </c>
      <c r="BR63" t="s">
        <v>206</v>
      </c>
      <c r="BS63" t="s">
        <v>220</v>
      </c>
      <c r="BT63" t="s">
        <v>207</v>
      </c>
      <c r="BU63" t="s">
        <v>221</v>
      </c>
      <c r="BV63" t="s">
        <v>209</v>
      </c>
      <c r="BW63" t="s">
        <v>27</v>
      </c>
      <c r="BX63" t="s">
        <v>222</v>
      </c>
      <c r="BY63" t="s">
        <v>208</v>
      </c>
      <c r="CQ63" t="s">
        <v>356</v>
      </c>
      <c r="CR63" t="s">
        <v>357</v>
      </c>
      <c r="CS63" t="s">
        <v>8</v>
      </c>
      <c r="CT63" t="s">
        <v>17</v>
      </c>
      <c r="CU63" t="s">
        <v>6</v>
      </c>
      <c r="CV63" t="s">
        <v>42</v>
      </c>
      <c r="CW63" t="s">
        <v>74</v>
      </c>
      <c r="CX63" t="s">
        <v>26</v>
      </c>
      <c r="CY63" t="s">
        <v>358</v>
      </c>
      <c r="CZ63" t="s">
        <v>182</v>
      </c>
      <c r="DA63" t="s">
        <v>290</v>
      </c>
      <c r="DE63" t="s">
        <v>332</v>
      </c>
      <c r="DF63" t="s">
        <v>142</v>
      </c>
      <c r="DG63" t="s">
        <v>121</v>
      </c>
      <c r="DH63" t="s">
        <v>145</v>
      </c>
      <c r="DI63" t="s">
        <v>56</v>
      </c>
      <c r="DJ63" t="s">
        <v>96</v>
      </c>
      <c r="DK63" t="s">
        <v>330</v>
      </c>
      <c r="DL63" t="s">
        <v>333</v>
      </c>
      <c r="DM63" t="s">
        <v>185</v>
      </c>
      <c r="DN63" t="s">
        <v>49</v>
      </c>
      <c r="DO63" t="s">
        <v>334</v>
      </c>
    </row>
    <row r="64" spans="1:132" x14ac:dyDescent="0.25">
      <c r="A64" t="s">
        <v>338</v>
      </c>
      <c r="B64" t="s">
        <v>339</v>
      </c>
      <c r="C64" t="s">
        <v>121</v>
      </c>
      <c r="D64" t="s">
        <v>340</v>
      </c>
      <c r="E64" t="s">
        <v>341</v>
      </c>
      <c r="F64" t="s">
        <v>96</v>
      </c>
      <c r="G64" t="s">
        <v>330</v>
      </c>
      <c r="H64" t="s">
        <v>27</v>
      </c>
      <c r="I64" t="s">
        <v>291</v>
      </c>
      <c r="J64" t="s">
        <v>149</v>
      </c>
      <c r="K64" t="s">
        <v>277</v>
      </c>
      <c r="Y64" t="s">
        <v>231</v>
      </c>
      <c r="Z64" t="s">
        <v>139</v>
      </c>
      <c r="AA64" t="s">
        <v>224</v>
      </c>
      <c r="AB64" t="s">
        <v>207</v>
      </c>
      <c r="AC64" t="s">
        <v>225</v>
      </c>
      <c r="AD64" t="s">
        <v>232</v>
      </c>
      <c r="AE64" t="s">
        <v>5</v>
      </c>
      <c r="AF64" t="s">
        <v>220</v>
      </c>
      <c r="AG64" t="s">
        <v>206</v>
      </c>
      <c r="AH64" t="s">
        <v>233</v>
      </c>
      <c r="AI64" t="s">
        <v>234</v>
      </c>
      <c r="AM64" t="s">
        <v>256</v>
      </c>
      <c r="AN64" t="s">
        <v>37</v>
      </c>
      <c r="AO64" t="s">
        <v>183</v>
      </c>
      <c r="AP64" t="s">
        <v>26</v>
      </c>
      <c r="AQ64" t="s">
        <v>27</v>
      </c>
      <c r="AR64" t="s">
        <v>148</v>
      </c>
      <c r="AS64" t="s">
        <v>105</v>
      </c>
      <c r="AT64" t="s">
        <v>79</v>
      </c>
      <c r="AU64" t="s">
        <v>28</v>
      </c>
      <c r="AV64" t="s">
        <v>62</v>
      </c>
      <c r="AW64" t="s">
        <v>73</v>
      </c>
      <c r="BA64" t="s">
        <v>300</v>
      </c>
      <c r="BB64" t="s">
        <v>26</v>
      </c>
      <c r="BC64" t="s">
        <v>301</v>
      </c>
      <c r="BD64" t="s">
        <v>3</v>
      </c>
      <c r="BE64" t="s">
        <v>302</v>
      </c>
      <c r="BF64" t="s">
        <v>303</v>
      </c>
      <c r="BG64" t="s">
        <v>27</v>
      </c>
      <c r="BH64" t="s">
        <v>55</v>
      </c>
      <c r="BI64" t="s">
        <v>304</v>
      </c>
      <c r="BJ64" t="s">
        <v>305</v>
      </c>
      <c r="BK64" t="s">
        <v>306</v>
      </c>
      <c r="BO64" t="s">
        <v>256</v>
      </c>
      <c r="BP64" t="s">
        <v>37</v>
      </c>
      <c r="BQ64" t="s">
        <v>183</v>
      </c>
      <c r="BR64" t="s">
        <v>26</v>
      </c>
      <c r="BS64" t="s">
        <v>27</v>
      </c>
      <c r="BT64" t="s">
        <v>148</v>
      </c>
      <c r="BU64" t="s">
        <v>105</v>
      </c>
      <c r="BV64" t="s">
        <v>79</v>
      </c>
      <c r="BW64" t="s">
        <v>28</v>
      </c>
      <c r="BX64" t="s">
        <v>62</v>
      </c>
      <c r="BY64" t="s">
        <v>73</v>
      </c>
      <c r="CC64" t="s">
        <v>444</v>
      </c>
      <c r="CQ64" t="s">
        <v>371</v>
      </c>
      <c r="CR64" t="s">
        <v>132</v>
      </c>
      <c r="CS64" t="s">
        <v>6</v>
      </c>
      <c r="CT64" t="s">
        <v>344</v>
      </c>
      <c r="CU64" t="s">
        <v>372</v>
      </c>
      <c r="CV64" t="s">
        <v>55</v>
      </c>
      <c r="CW64" t="s">
        <v>64</v>
      </c>
      <c r="CX64" t="s">
        <v>373</v>
      </c>
      <c r="CY64" t="s">
        <v>26</v>
      </c>
      <c r="CZ64" t="s">
        <v>374</v>
      </c>
      <c r="DA64" t="s">
        <v>188</v>
      </c>
    </row>
    <row r="65" spans="1:119" x14ac:dyDescent="0.25">
      <c r="A65" t="s">
        <v>342</v>
      </c>
      <c r="B65" t="s">
        <v>29</v>
      </c>
      <c r="C65" t="s">
        <v>24</v>
      </c>
      <c r="D65" t="s">
        <v>6</v>
      </c>
      <c r="E65" t="s">
        <v>26</v>
      </c>
      <c r="F65" t="s">
        <v>64</v>
      </c>
      <c r="G65" t="s">
        <v>292</v>
      </c>
      <c r="H65" t="s">
        <v>27</v>
      </c>
      <c r="I65" t="s">
        <v>8</v>
      </c>
      <c r="J65" t="s">
        <v>42</v>
      </c>
      <c r="K65" t="s">
        <v>54</v>
      </c>
      <c r="Y65" t="s">
        <v>238</v>
      </c>
      <c r="Z65" t="s">
        <v>239</v>
      </c>
      <c r="AA65" t="s">
        <v>1</v>
      </c>
      <c r="AB65" t="s">
        <v>240</v>
      </c>
      <c r="AC65" t="s">
        <v>121</v>
      </c>
      <c r="AD65" t="s">
        <v>52</v>
      </c>
      <c r="AE65" t="s">
        <v>241</v>
      </c>
      <c r="AF65" t="s">
        <v>242</v>
      </c>
      <c r="AG65" t="s">
        <v>243</v>
      </c>
      <c r="AH65" t="s">
        <v>3</v>
      </c>
      <c r="AI65" t="s">
        <v>27</v>
      </c>
      <c r="AM65" t="s">
        <v>269</v>
      </c>
      <c r="AN65" t="s">
        <v>139</v>
      </c>
      <c r="AO65" t="s">
        <v>270</v>
      </c>
      <c r="AP65" t="s">
        <v>249</v>
      </c>
      <c r="AQ65" t="s">
        <v>37</v>
      </c>
      <c r="AR65" t="s">
        <v>268</v>
      </c>
      <c r="AS65" t="s">
        <v>26</v>
      </c>
      <c r="AT65" t="s">
        <v>20</v>
      </c>
      <c r="AU65" t="s">
        <v>27</v>
      </c>
      <c r="AV65" t="s">
        <v>271</v>
      </c>
      <c r="AW65" t="s">
        <v>62</v>
      </c>
      <c r="BA65" t="s">
        <v>317</v>
      </c>
      <c r="BB65" t="s">
        <v>318</v>
      </c>
      <c r="BC65" t="s">
        <v>319</v>
      </c>
      <c r="BD65" t="s">
        <v>282</v>
      </c>
      <c r="BE65" t="s">
        <v>320</v>
      </c>
      <c r="BF65" t="s">
        <v>279</v>
      </c>
      <c r="BG65" t="s">
        <v>242</v>
      </c>
      <c r="BH65" t="s">
        <v>26</v>
      </c>
      <c r="BI65" t="s">
        <v>27</v>
      </c>
      <c r="BJ65" t="s">
        <v>49</v>
      </c>
      <c r="BK65" t="s">
        <v>105</v>
      </c>
      <c r="BO65" t="s">
        <v>269</v>
      </c>
      <c r="BP65" t="s">
        <v>139</v>
      </c>
      <c r="BQ65" t="s">
        <v>270</v>
      </c>
      <c r="BR65" t="s">
        <v>249</v>
      </c>
      <c r="BS65" t="s">
        <v>37</v>
      </c>
      <c r="BT65" t="s">
        <v>268</v>
      </c>
      <c r="BU65" t="s">
        <v>26</v>
      </c>
      <c r="BV65" t="s">
        <v>20</v>
      </c>
      <c r="BW65" t="s">
        <v>27</v>
      </c>
      <c r="BX65" t="s">
        <v>271</v>
      </c>
      <c r="BY65" t="s">
        <v>62</v>
      </c>
      <c r="CC65" t="s">
        <v>256</v>
      </c>
      <c r="CD65" t="s">
        <v>37</v>
      </c>
      <c r="CE65" t="s">
        <v>183</v>
      </c>
      <c r="CF65" t="s">
        <v>26</v>
      </c>
      <c r="CG65" t="s">
        <v>27</v>
      </c>
      <c r="CH65" t="s">
        <v>148</v>
      </c>
      <c r="CI65" t="s">
        <v>105</v>
      </c>
      <c r="CJ65" t="s">
        <v>79</v>
      </c>
      <c r="CK65" t="s">
        <v>28</v>
      </c>
      <c r="CL65" t="s">
        <v>62</v>
      </c>
      <c r="CM65" t="s">
        <v>73</v>
      </c>
      <c r="DD65" t="s">
        <v>508</v>
      </c>
      <c r="DE65" t="s">
        <v>486</v>
      </c>
    </row>
    <row r="66" spans="1:119" x14ac:dyDescent="0.25">
      <c r="A66" t="s">
        <v>343</v>
      </c>
      <c r="B66" t="s">
        <v>29</v>
      </c>
      <c r="C66" t="s">
        <v>26</v>
      </c>
      <c r="D66" t="s">
        <v>60</v>
      </c>
      <c r="E66" t="s">
        <v>344</v>
      </c>
      <c r="F66" t="s">
        <v>62</v>
      </c>
      <c r="G66" t="s">
        <v>8</v>
      </c>
      <c r="H66" t="s">
        <v>84</v>
      </c>
      <c r="I66" t="s">
        <v>36</v>
      </c>
      <c r="J66" t="s">
        <v>7</v>
      </c>
      <c r="K66" t="s">
        <v>20</v>
      </c>
      <c r="Y66" t="s">
        <v>246</v>
      </c>
      <c r="Z66" t="s">
        <v>4</v>
      </c>
      <c r="AA66" t="s">
        <v>37</v>
      </c>
      <c r="AB66" t="s">
        <v>179</v>
      </c>
      <c r="AC66" t="s">
        <v>247</v>
      </c>
      <c r="AD66" t="s">
        <v>105</v>
      </c>
      <c r="AE66" t="s">
        <v>126</v>
      </c>
      <c r="AF66" t="s">
        <v>149</v>
      </c>
      <c r="AG66" t="s">
        <v>109</v>
      </c>
      <c r="AH66" t="s">
        <v>170</v>
      </c>
      <c r="AI66" t="s">
        <v>47</v>
      </c>
      <c r="AM66" t="s">
        <v>300</v>
      </c>
      <c r="AN66" t="s">
        <v>26</v>
      </c>
      <c r="AO66" t="s">
        <v>301</v>
      </c>
      <c r="AP66" t="s">
        <v>3</v>
      </c>
      <c r="AQ66" t="s">
        <v>302</v>
      </c>
      <c r="AR66" t="s">
        <v>303</v>
      </c>
      <c r="AS66" t="s">
        <v>27</v>
      </c>
      <c r="AT66" t="s">
        <v>55</v>
      </c>
      <c r="AU66" t="s">
        <v>304</v>
      </c>
      <c r="AV66" t="s">
        <v>305</v>
      </c>
      <c r="AW66" t="s">
        <v>306</v>
      </c>
      <c r="BA66" t="s">
        <v>328</v>
      </c>
      <c r="BB66" t="s">
        <v>26</v>
      </c>
      <c r="BC66" t="s">
        <v>329</v>
      </c>
      <c r="BD66" t="s">
        <v>121</v>
      </c>
      <c r="BE66" t="s">
        <v>117</v>
      </c>
      <c r="BF66" t="s">
        <v>27</v>
      </c>
      <c r="BG66" t="s">
        <v>183</v>
      </c>
      <c r="BH66" t="s">
        <v>330</v>
      </c>
      <c r="BI66" t="s">
        <v>4</v>
      </c>
      <c r="BJ66" t="s">
        <v>327</v>
      </c>
      <c r="BK66" t="s">
        <v>194</v>
      </c>
      <c r="BO66" t="s">
        <v>300</v>
      </c>
      <c r="BP66" t="s">
        <v>26</v>
      </c>
      <c r="BQ66" t="s">
        <v>301</v>
      </c>
      <c r="BR66" t="s">
        <v>3</v>
      </c>
      <c r="BS66" t="s">
        <v>302</v>
      </c>
      <c r="BT66" t="s">
        <v>303</v>
      </c>
      <c r="BU66" t="s">
        <v>27</v>
      </c>
      <c r="BV66" t="s">
        <v>55</v>
      </c>
      <c r="BW66" t="s">
        <v>304</v>
      </c>
      <c r="BX66" t="s">
        <v>305</v>
      </c>
      <c r="BY66" t="s">
        <v>306</v>
      </c>
      <c r="CC66" t="s">
        <v>269</v>
      </c>
      <c r="CD66" t="s">
        <v>139</v>
      </c>
      <c r="CE66" t="s">
        <v>270</v>
      </c>
      <c r="CF66" t="s">
        <v>249</v>
      </c>
      <c r="CG66" t="s">
        <v>37</v>
      </c>
      <c r="CH66" t="s">
        <v>268</v>
      </c>
      <c r="CI66" t="s">
        <v>26</v>
      </c>
      <c r="CJ66" t="s">
        <v>20</v>
      </c>
      <c r="CK66" t="s">
        <v>27</v>
      </c>
      <c r="CL66" t="s">
        <v>271</v>
      </c>
      <c r="CM66" t="s">
        <v>62</v>
      </c>
      <c r="CQ66" t="s">
        <v>464</v>
      </c>
      <c r="DD66">
        <f>5/8*100</f>
        <v>62.5</v>
      </c>
      <c r="DE66" t="s">
        <v>71</v>
      </c>
      <c r="DF66" t="s">
        <v>72</v>
      </c>
      <c r="DG66" t="s">
        <v>37</v>
      </c>
      <c r="DH66" t="s">
        <v>26</v>
      </c>
      <c r="DI66" t="s">
        <v>73</v>
      </c>
      <c r="DJ66" t="s">
        <v>43</v>
      </c>
      <c r="DK66" t="s">
        <v>60</v>
      </c>
      <c r="DL66" t="s">
        <v>6</v>
      </c>
      <c r="DM66" t="s">
        <v>74</v>
      </c>
      <c r="DN66" t="s">
        <v>75</v>
      </c>
      <c r="DO66" t="s">
        <v>76</v>
      </c>
    </row>
    <row r="67" spans="1:119" x14ac:dyDescent="0.25">
      <c r="A67" t="s">
        <v>345</v>
      </c>
      <c r="B67" t="s">
        <v>29</v>
      </c>
      <c r="C67" t="s">
        <v>61</v>
      </c>
      <c r="D67" t="s">
        <v>42</v>
      </c>
      <c r="E67" t="s">
        <v>8</v>
      </c>
      <c r="F67" t="s">
        <v>344</v>
      </c>
      <c r="G67" t="s">
        <v>46</v>
      </c>
      <c r="H67" t="s">
        <v>346</v>
      </c>
      <c r="I67" t="s">
        <v>184</v>
      </c>
      <c r="J67" t="s">
        <v>28</v>
      </c>
      <c r="K67" t="s">
        <v>347</v>
      </c>
      <c r="Y67" t="s">
        <v>248</v>
      </c>
      <c r="Z67" t="s">
        <v>139</v>
      </c>
      <c r="AA67" t="s">
        <v>249</v>
      </c>
      <c r="AB67" t="s">
        <v>250</v>
      </c>
      <c r="AC67" t="s">
        <v>27</v>
      </c>
      <c r="AD67" t="s">
        <v>251</v>
      </c>
      <c r="AE67" t="s">
        <v>252</v>
      </c>
      <c r="AF67" t="s">
        <v>253</v>
      </c>
      <c r="AG67" t="s">
        <v>254</v>
      </c>
      <c r="AH67" t="s">
        <v>255</v>
      </c>
      <c r="AI67" t="s">
        <v>79</v>
      </c>
      <c r="AM67" t="s">
        <v>317</v>
      </c>
      <c r="AN67" t="s">
        <v>318</v>
      </c>
      <c r="AO67" t="s">
        <v>319</v>
      </c>
      <c r="AP67" t="s">
        <v>282</v>
      </c>
      <c r="AQ67" t="s">
        <v>320</v>
      </c>
      <c r="AR67" t="s">
        <v>279</v>
      </c>
      <c r="AS67" t="s">
        <v>242</v>
      </c>
      <c r="AT67" t="s">
        <v>26</v>
      </c>
      <c r="AU67" t="s">
        <v>27</v>
      </c>
      <c r="AV67" t="s">
        <v>49</v>
      </c>
      <c r="AW67" t="s">
        <v>105</v>
      </c>
      <c r="BO67" t="s">
        <v>317</v>
      </c>
      <c r="BP67" t="s">
        <v>318</v>
      </c>
      <c r="BQ67" t="s">
        <v>319</v>
      </c>
      <c r="BR67" t="s">
        <v>282</v>
      </c>
      <c r="BS67" t="s">
        <v>320</v>
      </c>
      <c r="BT67" t="s">
        <v>279</v>
      </c>
      <c r="BU67" t="s">
        <v>242</v>
      </c>
      <c r="BV67" t="s">
        <v>26</v>
      </c>
      <c r="BW67" t="s">
        <v>27</v>
      </c>
      <c r="BX67" t="s">
        <v>49</v>
      </c>
      <c r="BY67" t="s">
        <v>105</v>
      </c>
      <c r="CQ67" t="s">
        <v>256</v>
      </c>
      <c r="CR67" t="s">
        <v>37</v>
      </c>
      <c r="CS67" t="s">
        <v>183</v>
      </c>
      <c r="CT67" t="s">
        <v>26</v>
      </c>
      <c r="CU67" t="s">
        <v>27</v>
      </c>
      <c r="CV67" t="s">
        <v>148</v>
      </c>
      <c r="CW67" t="s">
        <v>105</v>
      </c>
      <c r="CX67" t="s">
        <v>79</v>
      </c>
      <c r="CY67" t="s">
        <v>28</v>
      </c>
      <c r="CZ67" t="s">
        <v>62</v>
      </c>
      <c r="DA67" t="s">
        <v>73</v>
      </c>
      <c r="DE67" t="s">
        <v>89</v>
      </c>
      <c r="DF67" t="s">
        <v>90</v>
      </c>
      <c r="DG67" t="s">
        <v>2</v>
      </c>
      <c r="DH67" t="s">
        <v>91</v>
      </c>
      <c r="DI67" t="s">
        <v>92</v>
      </c>
      <c r="DJ67" t="s">
        <v>26</v>
      </c>
      <c r="DK67" t="s">
        <v>6</v>
      </c>
      <c r="DL67" t="s">
        <v>74</v>
      </c>
      <c r="DM67" t="s">
        <v>79</v>
      </c>
      <c r="DN67" t="s">
        <v>93</v>
      </c>
      <c r="DO67" t="s">
        <v>94</v>
      </c>
    </row>
    <row r="68" spans="1:119" x14ac:dyDescent="0.25">
      <c r="A68" t="s">
        <v>348</v>
      </c>
      <c r="B68" t="s">
        <v>349</v>
      </c>
      <c r="C68" t="s">
        <v>29</v>
      </c>
      <c r="D68" t="s">
        <v>139</v>
      </c>
      <c r="E68" t="s">
        <v>350</v>
      </c>
      <c r="F68" t="s">
        <v>222</v>
      </c>
      <c r="G68" t="s">
        <v>184</v>
      </c>
      <c r="H68" t="s">
        <v>37</v>
      </c>
      <c r="I68" t="s">
        <v>62</v>
      </c>
      <c r="J68" t="s">
        <v>64</v>
      </c>
      <c r="K68" t="s">
        <v>351</v>
      </c>
      <c r="Y68" t="s">
        <v>257</v>
      </c>
      <c r="Z68" t="s">
        <v>258</v>
      </c>
      <c r="AA68" t="s">
        <v>27</v>
      </c>
      <c r="AB68" t="s">
        <v>249</v>
      </c>
      <c r="AC68" t="s">
        <v>62</v>
      </c>
      <c r="AD68" t="s">
        <v>28</v>
      </c>
      <c r="AE68" t="s">
        <v>139</v>
      </c>
      <c r="AF68" t="s">
        <v>222</v>
      </c>
      <c r="AG68" t="s">
        <v>86</v>
      </c>
      <c r="AH68" t="s">
        <v>39</v>
      </c>
      <c r="AI68" t="s">
        <v>25</v>
      </c>
      <c r="AM68" t="s">
        <v>328</v>
      </c>
      <c r="AN68" t="s">
        <v>26</v>
      </c>
      <c r="AO68" t="s">
        <v>329</v>
      </c>
      <c r="AP68" t="s">
        <v>121</v>
      </c>
      <c r="AQ68" t="s">
        <v>117</v>
      </c>
      <c r="AR68" t="s">
        <v>27</v>
      </c>
      <c r="AS68" t="s">
        <v>183</v>
      </c>
      <c r="AT68" t="s">
        <v>330</v>
      </c>
      <c r="AU68" t="s">
        <v>4</v>
      </c>
      <c r="AV68" t="s">
        <v>327</v>
      </c>
      <c r="AW68" t="s">
        <v>194</v>
      </c>
      <c r="BA68" t="s">
        <v>415</v>
      </c>
      <c r="CC68" t="s">
        <v>445</v>
      </c>
      <c r="CQ68" t="s">
        <v>269</v>
      </c>
      <c r="CR68" t="s">
        <v>139</v>
      </c>
      <c r="CS68" t="s">
        <v>270</v>
      </c>
      <c r="CT68" t="s">
        <v>249</v>
      </c>
      <c r="CU68" t="s">
        <v>37</v>
      </c>
      <c r="CV68" t="s">
        <v>268</v>
      </c>
      <c r="CW68" t="s">
        <v>26</v>
      </c>
      <c r="CX68" t="s">
        <v>20</v>
      </c>
      <c r="CY68" t="s">
        <v>27</v>
      </c>
      <c r="CZ68" t="s">
        <v>271</v>
      </c>
      <c r="DA68" t="s">
        <v>62</v>
      </c>
      <c r="DE68" t="s">
        <v>355</v>
      </c>
      <c r="DF68" t="s">
        <v>26</v>
      </c>
      <c r="DG68" t="s">
        <v>88</v>
      </c>
      <c r="DH68" t="s">
        <v>344</v>
      </c>
      <c r="DI68" t="s">
        <v>327</v>
      </c>
      <c r="DJ68" t="s">
        <v>163</v>
      </c>
      <c r="DK68" t="s">
        <v>8</v>
      </c>
      <c r="DL68" t="s">
        <v>292</v>
      </c>
      <c r="DM68" t="s">
        <v>6</v>
      </c>
      <c r="DN68" t="s">
        <v>28</v>
      </c>
      <c r="DO68" t="s">
        <v>86</v>
      </c>
    </row>
    <row r="69" spans="1:119" x14ac:dyDescent="0.25">
      <c r="A69" t="s">
        <v>352</v>
      </c>
      <c r="B69" t="s">
        <v>51</v>
      </c>
      <c r="C69" t="s">
        <v>353</v>
      </c>
      <c r="D69" t="s">
        <v>344</v>
      </c>
      <c r="E69" t="s">
        <v>60</v>
      </c>
      <c r="F69" t="s">
        <v>26</v>
      </c>
      <c r="G69" t="s">
        <v>24</v>
      </c>
      <c r="H69" t="s">
        <v>96</v>
      </c>
      <c r="I69" t="s">
        <v>354</v>
      </c>
      <c r="J69" t="s">
        <v>163</v>
      </c>
      <c r="K69" t="s">
        <v>81</v>
      </c>
      <c r="Y69" t="s">
        <v>259</v>
      </c>
      <c r="Z69" t="s">
        <v>6</v>
      </c>
      <c r="AA69" t="s">
        <v>258</v>
      </c>
      <c r="AB69" t="s">
        <v>88</v>
      </c>
      <c r="AC69" t="s">
        <v>260</v>
      </c>
      <c r="AD69" t="s">
        <v>258</v>
      </c>
      <c r="AE69" t="s">
        <v>74</v>
      </c>
      <c r="AF69" t="s">
        <v>27</v>
      </c>
      <c r="AG69" t="s">
        <v>261</v>
      </c>
      <c r="AH69" t="s">
        <v>148</v>
      </c>
      <c r="AI69" t="s">
        <v>262</v>
      </c>
      <c r="AM69" t="s">
        <v>342</v>
      </c>
      <c r="AN69" t="s">
        <v>29</v>
      </c>
      <c r="AO69" t="s">
        <v>24</v>
      </c>
      <c r="AP69" t="s">
        <v>6</v>
      </c>
      <c r="AQ69" t="s">
        <v>26</v>
      </c>
      <c r="AR69" t="s">
        <v>64</v>
      </c>
      <c r="AS69" t="s">
        <v>292</v>
      </c>
      <c r="AT69" t="s">
        <v>27</v>
      </c>
      <c r="AU69" t="s">
        <v>8</v>
      </c>
      <c r="AV69" t="s">
        <v>42</v>
      </c>
      <c r="AW69" t="s">
        <v>54</v>
      </c>
      <c r="BA69" t="s">
        <v>0</v>
      </c>
      <c r="BB69" t="s">
        <v>1</v>
      </c>
      <c r="BC69" t="s">
        <v>2</v>
      </c>
      <c r="BD69" t="s">
        <v>3</v>
      </c>
      <c r="BE69" t="s">
        <v>4</v>
      </c>
      <c r="BF69" t="s">
        <v>5</v>
      </c>
      <c r="BG69" t="s">
        <v>6</v>
      </c>
      <c r="BH69" t="s">
        <v>7</v>
      </c>
      <c r="BI69" t="s">
        <v>8</v>
      </c>
      <c r="BJ69" t="s">
        <v>9</v>
      </c>
      <c r="BK69" t="s">
        <v>10</v>
      </c>
      <c r="BO69" t="s">
        <v>427</v>
      </c>
      <c r="CC69" t="s">
        <v>22</v>
      </c>
      <c r="CD69" t="s">
        <v>23</v>
      </c>
      <c r="CE69" t="s">
        <v>24</v>
      </c>
      <c r="CF69" t="s">
        <v>25</v>
      </c>
      <c r="CG69" t="s">
        <v>26</v>
      </c>
      <c r="CH69" t="s">
        <v>27</v>
      </c>
      <c r="CI69" t="s">
        <v>28</v>
      </c>
      <c r="CJ69" t="s">
        <v>29</v>
      </c>
      <c r="CK69" t="s">
        <v>30</v>
      </c>
      <c r="CL69" t="s">
        <v>31</v>
      </c>
      <c r="CM69" t="s">
        <v>32</v>
      </c>
      <c r="DE69" t="s">
        <v>356</v>
      </c>
      <c r="DF69" t="s">
        <v>357</v>
      </c>
      <c r="DG69" t="s">
        <v>8</v>
      </c>
      <c r="DH69" t="s">
        <v>17</v>
      </c>
      <c r="DI69" t="s">
        <v>6</v>
      </c>
      <c r="DJ69" t="s">
        <v>42</v>
      </c>
      <c r="DK69" t="s">
        <v>74</v>
      </c>
      <c r="DL69" t="s">
        <v>26</v>
      </c>
      <c r="DM69" t="s">
        <v>358</v>
      </c>
      <c r="DN69" t="s">
        <v>182</v>
      </c>
      <c r="DO69" t="s">
        <v>290</v>
      </c>
    </row>
    <row r="70" spans="1:119" x14ac:dyDescent="0.25">
      <c r="A70" t="s">
        <v>355</v>
      </c>
      <c r="B70" t="s">
        <v>26</v>
      </c>
      <c r="C70" t="s">
        <v>88</v>
      </c>
      <c r="D70" t="s">
        <v>344</v>
      </c>
      <c r="E70" t="s">
        <v>327</v>
      </c>
      <c r="F70" t="s">
        <v>163</v>
      </c>
      <c r="G70" t="s">
        <v>8</v>
      </c>
      <c r="H70" t="s">
        <v>292</v>
      </c>
      <c r="I70" t="s">
        <v>6</v>
      </c>
      <c r="J70" t="s">
        <v>28</v>
      </c>
      <c r="K70" t="s">
        <v>86</v>
      </c>
      <c r="Y70" t="s">
        <v>263</v>
      </c>
      <c r="Z70" t="s">
        <v>264</v>
      </c>
      <c r="AA70" t="s">
        <v>249</v>
      </c>
      <c r="AB70" t="s">
        <v>265</v>
      </c>
      <c r="AC70" t="s">
        <v>24</v>
      </c>
      <c r="AD70" t="s">
        <v>266</v>
      </c>
      <c r="AE70" t="s">
        <v>267</v>
      </c>
      <c r="AF70" t="s">
        <v>21</v>
      </c>
      <c r="AG70" t="s">
        <v>268</v>
      </c>
      <c r="AH70" t="s">
        <v>147</v>
      </c>
      <c r="AI70" t="s">
        <v>149</v>
      </c>
      <c r="AM70" t="s">
        <v>363</v>
      </c>
      <c r="AN70" t="s">
        <v>364</v>
      </c>
      <c r="AO70" t="s">
        <v>6</v>
      </c>
      <c r="AP70" t="s">
        <v>236</v>
      </c>
      <c r="AQ70" t="s">
        <v>139</v>
      </c>
      <c r="AR70" t="s">
        <v>121</v>
      </c>
      <c r="AS70" t="s">
        <v>26</v>
      </c>
      <c r="AT70" t="s">
        <v>327</v>
      </c>
      <c r="AU70" t="s">
        <v>27</v>
      </c>
      <c r="AV70" t="s">
        <v>365</v>
      </c>
      <c r="AW70" t="s">
        <v>56</v>
      </c>
      <c r="BA70" t="s">
        <v>275</v>
      </c>
      <c r="BB70" t="s">
        <v>81</v>
      </c>
      <c r="BC70" t="s">
        <v>42</v>
      </c>
      <c r="BD70" t="s">
        <v>20</v>
      </c>
      <c r="BE70" t="s">
        <v>32</v>
      </c>
      <c r="BF70" t="s">
        <v>121</v>
      </c>
      <c r="BG70" t="s">
        <v>276</v>
      </c>
      <c r="BH70" t="s">
        <v>277</v>
      </c>
      <c r="BI70" t="s">
        <v>6</v>
      </c>
      <c r="BJ70" t="s">
        <v>245</v>
      </c>
      <c r="BK70" t="s">
        <v>37</v>
      </c>
      <c r="BO70" t="s">
        <v>137</v>
      </c>
      <c r="BP70" t="s">
        <v>138</v>
      </c>
      <c r="BQ70" t="s">
        <v>139</v>
      </c>
      <c r="BR70" t="s">
        <v>140</v>
      </c>
      <c r="BS70" t="s">
        <v>121</v>
      </c>
      <c r="BT70" t="s">
        <v>121</v>
      </c>
      <c r="BU70" t="s">
        <v>141</v>
      </c>
      <c r="BV70" t="s">
        <v>26</v>
      </c>
      <c r="BW70" t="s">
        <v>142</v>
      </c>
      <c r="BX70" t="s">
        <v>143</v>
      </c>
      <c r="BY70" t="s">
        <v>27</v>
      </c>
      <c r="CC70" t="s">
        <v>33</v>
      </c>
      <c r="CD70" t="s">
        <v>34</v>
      </c>
      <c r="CE70" t="s">
        <v>35</v>
      </c>
      <c r="CF70" t="s">
        <v>36</v>
      </c>
      <c r="CG70" t="s">
        <v>23</v>
      </c>
      <c r="CH70" t="s">
        <v>37</v>
      </c>
      <c r="CI70" t="s">
        <v>26</v>
      </c>
      <c r="CJ70" t="s">
        <v>38</v>
      </c>
      <c r="CK70" t="s">
        <v>27</v>
      </c>
      <c r="CL70" t="s">
        <v>39</v>
      </c>
      <c r="CM70" t="s">
        <v>40</v>
      </c>
      <c r="CQ70" t="s">
        <v>465</v>
      </c>
      <c r="DE70" t="s">
        <v>371</v>
      </c>
      <c r="DF70" t="s">
        <v>132</v>
      </c>
      <c r="DG70" t="s">
        <v>6</v>
      </c>
      <c r="DH70" t="s">
        <v>344</v>
      </c>
      <c r="DI70" t="s">
        <v>372</v>
      </c>
      <c r="DJ70" t="s">
        <v>55</v>
      </c>
      <c r="DK70" t="s">
        <v>64</v>
      </c>
      <c r="DL70" t="s">
        <v>373</v>
      </c>
      <c r="DM70" t="s">
        <v>26</v>
      </c>
      <c r="DN70" t="s">
        <v>374</v>
      </c>
      <c r="DO70" t="s">
        <v>188</v>
      </c>
    </row>
    <row r="71" spans="1:119" x14ac:dyDescent="0.25">
      <c r="A71" t="s">
        <v>356</v>
      </c>
      <c r="B71" t="s">
        <v>357</v>
      </c>
      <c r="C71" t="s">
        <v>8</v>
      </c>
      <c r="D71" t="s">
        <v>17</v>
      </c>
      <c r="E71" t="s">
        <v>6</v>
      </c>
      <c r="F71" t="s">
        <v>42</v>
      </c>
      <c r="G71" t="s">
        <v>74</v>
      </c>
      <c r="H71" t="s">
        <v>26</v>
      </c>
      <c r="I71" t="s">
        <v>358</v>
      </c>
      <c r="J71" t="s">
        <v>182</v>
      </c>
      <c r="K71" t="s">
        <v>290</v>
      </c>
      <c r="Y71" t="s">
        <v>272</v>
      </c>
      <c r="Z71" t="s">
        <v>273</v>
      </c>
      <c r="AA71" t="s">
        <v>27</v>
      </c>
      <c r="AB71" t="s">
        <v>139</v>
      </c>
      <c r="AC71" t="s">
        <v>6</v>
      </c>
      <c r="AD71" t="s">
        <v>88</v>
      </c>
      <c r="AE71" t="s">
        <v>27</v>
      </c>
      <c r="AF71" t="s">
        <v>24</v>
      </c>
      <c r="AG71" t="s">
        <v>198</v>
      </c>
      <c r="AH71" t="s">
        <v>249</v>
      </c>
      <c r="AI71" t="s">
        <v>274</v>
      </c>
      <c r="AM71" t="s">
        <v>366</v>
      </c>
      <c r="AN71" t="s">
        <v>26</v>
      </c>
      <c r="AO71" t="s">
        <v>132</v>
      </c>
      <c r="AP71" t="s">
        <v>6</v>
      </c>
      <c r="AQ71" t="s">
        <v>344</v>
      </c>
      <c r="AR71" t="s">
        <v>39</v>
      </c>
      <c r="AS71" t="s">
        <v>96</v>
      </c>
      <c r="AT71" t="s">
        <v>130</v>
      </c>
      <c r="AU71" t="s">
        <v>27</v>
      </c>
      <c r="AV71" t="s">
        <v>42</v>
      </c>
      <c r="AW71" t="s">
        <v>197</v>
      </c>
      <c r="BA71" t="s">
        <v>361</v>
      </c>
      <c r="BB71" t="s">
        <v>88</v>
      </c>
      <c r="BC71" t="s">
        <v>61</v>
      </c>
      <c r="BD71" t="s">
        <v>56</v>
      </c>
      <c r="BE71" t="s">
        <v>46</v>
      </c>
      <c r="BF71" t="s">
        <v>344</v>
      </c>
      <c r="BG71" t="s">
        <v>362</v>
      </c>
      <c r="BH71" t="s">
        <v>42</v>
      </c>
      <c r="BI71" t="s">
        <v>60</v>
      </c>
      <c r="BJ71" t="s">
        <v>6</v>
      </c>
      <c r="BK71" t="s">
        <v>55</v>
      </c>
      <c r="BO71" t="s">
        <v>235</v>
      </c>
      <c r="BP71" t="s">
        <v>1</v>
      </c>
      <c r="BQ71" t="s">
        <v>132</v>
      </c>
      <c r="BR71" t="s">
        <v>52</v>
      </c>
      <c r="BS71" t="s">
        <v>236</v>
      </c>
      <c r="BT71" t="s">
        <v>26</v>
      </c>
      <c r="BU71" t="s">
        <v>237</v>
      </c>
      <c r="BV71" t="s">
        <v>210</v>
      </c>
      <c r="BW71" t="s">
        <v>27</v>
      </c>
      <c r="BX71" t="s">
        <v>121</v>
      </c>
      <c r="BY71" t="s">
        <v>207</v>
      </c>
      <c r="CC71" t="s">
        <v>104</v>
      </c>
      <c r="CD71" t="s">
        <v>26</v>
      </c>
      <c r="CE71" t="s">
        <v>54</v>
      </c>
      <c r="CF71" t="s">
        <v>105</v>
      </c>
      <c r="CG71" t="s">
        <v>106</v>
      </c>
      <c r="CH71" t="s">
        <v>107</v>
      </c>
      <c r="CI71" t="s">
        <v>8</v>
      </c>
      <c r="CJ71" t="s">
        <v>73</v>
      </c>
      <c r="CK71" t="s">
        <v>27</v>
      </c>
      <c r="CL71" t="s">
        <v>108</v>
      </c>
      <c r="CM71" t="s">
        <v>109</v>
      </c>
      <c r="CQ71" t="s">
        <v>22</v>
      </c>
      <c r="CR71" t="s">
        <v>23</v>
      </c>
      <c r="CS71" t="s">
        <v>24</v>
      </c>
      <c r="CT71" t="s">
        <v>25</v>
      </c>
      <c r="CU71" t="s">
        <v>26</v>
      </c>
      <c r="CV71" t="s">
        <v>27</v>
      </c>
      <c r="CW71" t="s">
        <v>28</v>
      </c>
      <c r="CX71" t="s">
        <v>29</v>
      </c>
      <c r="CY71" t="s">
        <v>30</v>
      </c>
      <c r="CZ71" t="s">
        <v>31</v>
      </c>
      <c r="DA71" t="s">
        <v>32</v>
      </c>
    </row>
    <row r="72" spans="1:119" x14ac:dyDescent="0.25">
      <c r="A72" t="s">
        <v>359</v>
      </c>
      <c r="B72" t="s">
        <v>6</v>
      </c>
      <c r="C72" t="s">
        <v>344</v>
      </c>
      <c r="D72" t="s">
        <v>357</v>
      </c>
      <c r="E72" t="s">
        <v>27</v>
      </c>
      <c r="F72" t="s">
        <v>88</v>
      </c>
      <c r="G72" t="s">
        <v>64</v>
      </c>
      <c r="H72" t="s">
        <v>36</v>
      </c>
      <c r="I72" t="s">
        <v>46</v>
      </c>
      <c r="J72" t="s">
        <v>360</v>
      </c>
      <c r="K72" t="s">
        <v>60</v>
      </c>
      <c r="Y72" t="s">
        <v>275</v>
      </c>
      <c r="Z72" t="s">
        <v>81</v>
      </c>
      <c r="AA72" t="s">
        <v>42</v>
      </c>
      <c r="AB72" t="s">
        <v>20</v>
      </c>
      <c r="AC72" t="s">
        <v>32</v>
      </c>
      <c r="AD72" t="s">
        <v>121</v>
      </c>
      <c r="AE72" t="s">
        <v>276</v>
      </c>
      <c r="AF72" t="s">
        <v>277</v>
      </c>
      <c r="AG72" t="s">
        <v>6</v>
      </c>
      <c r="AH72" t="s">
        <v>245</v>
      </c>
      <c r="AI72" t="s">
        <v>37</v>
      </c>
      <c r="BO72" t="s">
        <v>328</v>
      </c>
      <c r="BP72" t="s">
        <v>26</v>
      </c>
      <c r="BQ72" t="s">
        <v>329</v>
      </c>
      <c r="BR72" t="s">
        <v>121</v>
      </c>
      <c r="BS72" t="s">
        <v>117</v>
      </c>
      <c r="BT72" t="s">
        <v>27</v>
      </c>
      <c r="BU72" t="s">
        <v>183</v>
      </c>
      <c r="BV72" t="s">
        <v>330</v>
      </c>
      <c r="BW72" t="s">
        <v>4</v>
      </c>
      <c r="BX72" t="s">
        <v>327</v>
      </c>
      <c r="BY72" t="s">
        <v>194</v>
      </c>
      <c r="CC72" t="s">
        <v>181</v>
      </c>
      <c r="CD72" t="s">
        <v>37</v>
      </c>
      <c r="CE72" t="s">
        <v>8</v>
      </c>
      <c r="CF72" t="s">
        <v>182</v>
      </c>
      <c r="CG72" t="s">
        <v>183</v>
      </c>
      <c r="CH72" t="s">
        <v>184</v>
      </c>
      <c r="CI72" t="s">
        <v>185</v>
      </c>
      <c r="CJ72" t="s">
        <v>139</v>
      </c>
      <c r="CK72" t="s">
        <v>27</v>
      </c>
      <c r="CL72" t="s">
        <v>26</v>
      </c>
      <c r="CM72" t="s">
        <v>24</v>
      </c>
      <c r="CQ72" t="s">
        <v>33</v>
      </c>
      <c r="CR72" t="s">
        <v>34</v>
      </c>
      <c r="CS72" t="s">
        <v>35</v>
      </c>
      <c r="CT72" t="s">
        <v>36</v>
      </c>
      <c r="CU72" t="s">
        <v>23</v>
      </c>
      <c r="CV72" t="s">
        <v>37</v>
      </c>
      <c r="CW72" t="s">
        <v>26</v>
      </c>
      <c r="CX72" t="s">
        <v>38</v>
      </c>
      <c r="CY72" t="s">
        <v>27</v>
      </c>
      <c r="CZ72" t="s">
        <v>39</v>
      </c>
      <c r="DA72" t="s">
        <v>40</v>
      </c>
      <c r="DD72" t="s">
        <v>502</v>
      </c>
      <c r="DE72" t="s">
        <v>487</v>
      </c>
    </row>
    <row r="73" spans="1:119" x14ac:dyDescent="0.25">
      <c r="A73" t="s">
        <v>361</v>
      </c>
      <c r="B73" t="s">
        <v>88</v>
      </c>
      <c r="C73" t="s">
        <v>61</v>
      </c>
      <c r="D73" t="s">
        <v>56</v>
      </c>
      <c r="E73" t="s">
        <v>46</v>
      </c>
      <c r="F73" t="s">
        <v>344</v>
      </c>
      <c r="G73" t="s">
        <v>362</v>
      </c>
      <c r="H73" t="s">
        <v>42</v>
      </c>
      <c r="I73" t="s">
        <v>60</v>
      </c>
      <c r="J73" t="s">
        <v>6</v>
      </c>
      <c r="K73" t="s">
        <v>55</v>
      </c>
      <c r="Y73" t="s">
        <v>278</v>
      </c>
      <c r="Z73" t="s">
        <v>279</v>
      </c>
      <c r="AA73" t="s">
        <v>37</v>
      </c>
      <c r="AB73" t="s">
        <v>8</v>
      </c>
      <c r="AC73" t="s">
        <v>280</v>
      </c>
      <c r="AD73" t="s">
        <v>281</v>
      </c>
      <c r="AE73" t="s">
        <v>96</v>
      </c>
      <c r="AF73" t="s">
        <v>282</v>
      </c>
      <c r="AG73" t="s">
        <v>148</v>
      </c>
      <c r="AH73" t="s">
        <v>188</v>
      </c>
      <c r="AI73" t="s">
        <v>283</v>
      </c>
      <c r="AM73" t="s">
        <v>410</v>
      </c>
      <c r="BA73" s="2" t="s">
        <v>412</v>
      </c>
      <c r="CC73" t="s">
        <v>218</v>
      </c>
      <c r="CD73" t="s">
        <v>26</v>
      </c>
      <c r="CE73" t="s">
        <v>219</v>
      </c>
      <c r="CF73" t="s">
        <v>206</v>
      </c>
      <c r="CG73" t="s">
        <v>220</v>
      </c>
      <c r="CH73" t="s">
        <v>207</v>
      </c>
      <c r="CI73" t="s">
        <v>221</v>
      </c>
      <c r="CJ73" t="s">
        <v>209</v>
      </c>
      <c r="CK73" t="s">
        <v>27</v>
      </c>
      <c r="CL73" t="s">
        <v>222</v>
      </c>
      <c r="CM73" t="s">
        <v>208</v>
      </c>
      <c r="CQ73" t="s">
        <v>104</v>
      </c>
      <c r="CR73" t="s">
        <v>26</v>
      </c>
      <c r="CS73" t="s">
        <v>54</v>
      </c>
      <c r="CT73" t="s">
        <v>105</v>
      </c>
      <c r="CU73" t="s">
        <v>106</v>
      </c>
      <c r="CV73" t="s">
        <v>107</v>
      </c>
      <c r="CW73" t="s">
        <v>8</v>
      </c>
      <c r="CX73" t="s">
        <v>73</v>
      </c>
      <c r="CY73" t="s">
        <v>27</v>
      </c>
      <c r="CZ73" t="s">
        <v>108</v>
      </c>
      <c r="DA73" t="s">
        <v>109</v>
      </c>
      <c r="DE73" t="s">
        <v>256</v>
      </c>
      <c r="DF73" t="s">
        <v>37</v>
      </c>
      <c r="DG73" t="s">
        <v>183</v>
      </c>
      <c r="DH73" t="s">
        <v>26</v>
      </c>
      <c r="DI73" t="s">
        <v>27</v>
      </c>
      <c r="DJ73" t="s">
        <v>148</v>
      </c>
      <c r="DK73" t="s">
        <v>105</v>
      </c>
      <c r="DL73" t="s">
        <v>79</v>
      </c>
      <c r="DM73" t="s">
        <v>28</v>
      </c>
      <c r="DN73" t="s">
        <v>62</v>
      </c>
      <c r="DO73" t="s">
        <v>73</v>
      </c>
    </row>
    <row r="74" spans="1:119" x14ac:dyDescent="0.25">
      <c r="A74" t="s">
        <v>363</v>
      </c>
      <c r="B74" t="s">
        <v>364</v>
      </c>
      <c r="C74" t="s">
        <v>6</v>
      </c>
      <c r="D74" t="s">
        <v>236</v>
      </c>
      <c r="E74" t="s">
        <v>139</v>
      </c>
      <c r="F74" t="s">
        <v>121</v>
      </c>
      <c r="G74" t="s">
        <v>26</v>
      </c>
      <c r="H74" t="s">
        <v>327</v>
      </c>
      <c r="I74" t="s">
        <v>27</v>
      </c>
      <c r="J74" t="s">
        <v>365</v>
      </c>
      <c r="K74" t="s">
        <v>56</v>
      </c>
      <c r="Y74" t="s">
        <v>294</v>
      </c>
      <c r="Z74" t="s">
        <v>295</v>
      </c>
      <c r="AA74" t="s">
        <v>296</v>
      </c>
      <c r="AB74" t="s">
        <v>8</v>
      </c>
      <c r="AC74" t="s">
        <v>8</v>
      </c>
      <c r="AD74" t="s">
        <v>297</v>
      </c>
      <c r="AE74" t="s">
        <v>37</v>
      </c>
      <c r="AF74" t="s">
        <v>163</v>
      </c>
      <c r="AG74" t="s">
        <v>184</v>
      </c>
      <c r="AH74" t="s">
        <v>298</v>
      </c>
      <c r="AI74" t="s">
        <v>299</v>
      </c>
      <c r="AM74" t="s">
        <v>41</v>
      </c>
      <c r="AN74" t="s">
        <v>13</v>
      </c>
      <c r="AO74" t="s">
        <v>42</v>
      </c>
      <c r="AP74" t="s">
        <v>43</v>
      </c>
      <c r="AQ74" t="s">
        <v>6</v>
      </c>
      <c r="AR74" t="s">
        <v>44</v>
      </c>
      <c r="AS74" t="s">
        <v>27</v>
      </c>
      <c r="AT74" t="s">
        <v>29</v>
      </c>
      <c r="AU74" t="s">
        <v>39</v>
      </c>
      <c r="AV74" t="s">
        <v>24</v>
      </c>
      <c r="AW74" t="s">
        <v>38</v>
      </c>
      <c r="BA74" t="s">
        <v>50</v>
      </c>
      <c r="BB74" t="s">
        <v>46</v>
      </c>
      <c r="BC74" t="s">
        <v>51</v>
      </c>
      <c r="BD74" t="s">
        <v>52</v>
      </c>
      <c r="BE74" t="s">
        <v>53</v>
      </c>
      <c r="BF74" t="s">
        <v>54</v>
      </c>
      <c r="BG74" t="s">
        <v>27</v>
      </c>
      <c r="BH74" t="s">
        <v>55</v>
      </c>
      <c r="BI74" t="s">
        <v>28</v>
      </c>
      <c r="BJ74" t="s">
        <v>56</v>
      </c>
      <c r="BK74" t="s">
        <v>57</v>
      </c>
      <c r="BO74" s="2" t="s">
        <v>430</v>
      </c>
      <c r="CC74" t="s">
        <v>300</v>
      </c>
      <c r="CD74" t="s">
        <v>26</v>
      </c>
      <c r="CE74" t="s">
        <v>301</v>
      </c>
      <c r="CF74" t="s">
        <v>3</v>
      </c>
      <c r="CG74" t="s">
        <v>302</v>
      </c>
      <c r="CH74" t="s">
        <v>303</v>
      </c>
      <c r="CI74" t="s">
        <v>27</v>
      </c>
      <c r="CJ74" t="s">
        <v>55</v>
      </c>
      <c r="CK74" t="s">
        <v>304</v>
      </c>
      <c r="CL74" t="s">
        <v>305</v>
      </c>
      <c r="CM74" t="s">
        <v>306</v>
      </c>
      <c r="CQ74" t="s">
        <v>181</v>
      </c>
      <c r="CR74" t="s">
        <v>37</v>
      </c>
      <c r="CS74" t="s">
        <v>8</v>
      </c>
      <c r="CT74" t="s">
        <v>182</v>
      </c>
      <c r="CU74" t="s">
        <v>183</v>
      </c>
      <c r="CV74" t="s">
        <v>184</v>
      </c>
      <c r="CW74" t="s">
        <v>185</v>
      </c>
      <c r="CX74" t="s">
        <v>139</v>
      </c>
      <c r="CY74" t="s">
        <v>27</v>
      </c>
      <c r="CZ74" t="s">
        <v>26</v>
      </c>
      <c r="DA74" t="s">
        <v>24</v>
      </c>
    </row>
    <row r="75" spans="1:119" x14ac:dyDescent="0.25">
      <c r="A75" t="s">
        <v>366</v>
      </c>
      <c r="B75" t="s">
        <v>26</v>
      </c>
      <c r="C75" t="s">
        <v>132</v>
      </c>
      <c r="D75" t="s">
        <v>6</v>
      </c>
      <c r="E75" t="s">
        <v>344</v>
      </c>
      <c r="F75" t="s">
        <v>39</v>
      </c>
      <c r="G75" t="s">
        <v>96</v>
      </c>
      <c r="H75" t="s">
        <v>130</v>
      </c>
      <c r="I75" t="s">
        <v>27</v>
      </c>
      <c r="J75" t="s">
        <v>42</v>
      </c>
      <c r="K75" t="s">
        <v>197</v>
      </c>
      <c r="Y75" t="s">
        <v>310</v>
      </c>
      <c r="Z75" t="s">
        <v>311</v>
      </c>
      <c r="AA75" t="s">
        <v>312</v>
      </c>
      <c r="AB75" t="s">
        <v>245</v>
      </c>
      <c r="AC75" t="s">
        <v>96</v>
      </c>
      <c r="AD75" t="s">
        <v>313</v>
      </c>
      <c r="AE75" t="s">
        <v>314</v>
      </c>
      <c r="AF75" t="s">
        <v>315</v>
      </c>
      <c r="AG75" t="s">
        <v>316</v>
      </c>
      <c r="AH75" t="s">
        <v>217</v>
      </c>
      <c r="AI75" t="s">
        <v>125</v>
      </c>
      <c r="AM75" t="s">
        <v>50</v>
      </c>
      <c r="AN75" t="s">
        <v>46</v>
      </c>
      <c r="AO75" t="s">
        <v>51</v>
      </c>
      <c r="AP75" t="s">
        <v>52</v>
      </c>
      <c r="AQ75" t="s">
        <v>53</v>
      </c>
      <c r="AR75" t="s">
        <v>54</v>
      </c>
      <c r="AS75" t="s">
        <v>27</v>
      </c>
      <c r="AT75" t="s">
        <v>55</v>
      </c>
      <c r="AU75" t="s">
        <v>28</v>
      </c>
      <c r="AV75" t="s">
        <v>56</v>
      </c>
      <c r="AW75" t="s">
        <v>57</v>
      </c>
      <c r="BA75" t="s">
        <v>186</v>
      </c>
      <c r="BB75" t="s">
        <v>183</v>
      </c>
      <c r="BC75" t="s">
        <v>187</v>
      </c>
      <c r="BD75" t="s">
        <v>182</v>
      </c>
      <c r="BE75" t="s">
        <v>81</v>
      </c>
      <c r="BF75" t="s">
        <v>24</v>
      </c>
      <c r="BG75" t="s">
        <v>27</v>
      </c>
      <c r="BH75" t="s">
        <v>163</v>
      </c>
      <c r="BI75" t="s">
        <v>36</v>
      </c>
      <c r="BJ75" t="s">
        <v>188</v>
      </c>
      <c r="BK75" t="s">
        <v>21</v>
      </c>
      <c r="BO75" t="s">
        <v>50</v>
      </c>
      <c r="BP75" t="s">
        <v>46</v>
      </c>
      <c r="BQ75" t="s">
        <v>51</v>
      </c>
      <c r="BR75" t="s">
        <v>52</v>
      </c>
      <c r="BS75" t="s">
        <v>53</v>
      </c>
      <c r="BT75" t="s">
        <v>54</v>
      </c>
      <c r="BU75" t="s">
        <v>27</v>
      </c>
      <c r="BV75" t="s">
        <v>55</v>
      </c>
      <c r="BW75" t="s">
        <v>28</v>
      </c>
      <c r="BX75" t="s">
        <v>56</v>
      </c>
      <c r="BY75" t="s">
        <v>57</v>
      </c>
      <c r="CC75" t="s">
        <v>317</v>
      </c>
      <c r="CD75" t="s">
        <v>318</v>
      </c>
      <c r="CE75" t="s">
        <v>319</v>
      </c>
      <c r="CF75" t="s">
        <v>282</v>
      </c>
      <c r="CG75" t="s">
        <v>320</v>
      </c>
      <c r="CH75" t="s">
        <v>279</v>
      </c>
      <c r="CI75" t="s">
        <v>242</v>
      </c>
      <c r="CJ75" t="s">
        <v>26</v>
      </c>
      <c r="CK75" t="s">
        <v>27</v>
      </c>
      <c r="CL75" t="s">
        <v>49</v>
      </c>
      <c r="CM75" t="s">
        <v>105</v>
      </c>
      <c r="CQ75" t="s">
        <v>218</v>
      </c>
      <c r="CR75" t="s">
        <v>26</v>
      </c>
      <c r="CS75" t="s">
        <v>219</v>
      </c>
      <c r="CT75" t="s">
        <v>206</v>
      </c>
      <c r="CU75" t="s">
        <v>220</v>
      </c>
      <c r="CV75" t="s">
        <v>207</v>
      </c>
      <c r="CW75" t="s">
        <v>221</v>
      </c>
      <c r="CX75" t="s">
        <v>209</v>
      </c>
      <c r="CY75" t="s">
        <v>27</v>
      </c>
      <c r="CZ75" t="s">
        <v>222</v>
      </c>
      <c r="DA75" t="s">
        <v>208</v>
      </c>
      <c r="DD75" t="s">
        <v>504</v>
      </c>
      <c r="DE75" t="s">
        <v>488</v>
      </c>
    </row>
    <row r="76" spans="1:119" x14ac:dyDescent="0.25">
      <c r="A76" t="s">
        <v>367</v>
      </c>
      <c r="B76" t="s">
        <v>132</v>
      </c>
      <c r="C76" t="s">
        <v>368</v>
      </c>
      <c r="D76" t="s">
        <v>96</v>
      </c>
      <c r="E76" t="s">
        <v>130</v>
      </c>
      <c r="F76" t="s">
        <v>369</v>
      </c>
      <c r="G76" t="s">
        <v>26</v>
      </c>
      <c r="H76" t="s">
        <v>369</v>
      </c>
      <c r="I76" t="s">
        <v>121</v>
      </c>
      <c r="J76" t="s">
        <v>368</v>
      </c>
      <c r="K76" t="s">
        <v>370</v>
      </c>
      <c r="Y76" t="s">
        <v>332</v>
      </c>
      <c r="Z76" t="s">
        <v>142</v>
      </c>
      <c r="AA76" t="s">
        <v>121</v>
      </c>
      <c r="AB76" t="s">
        <v>145</v>
      </c>
      <c r="AC76" t="s">
        <v>56</v>
      </c>
      <c r="AD76" t="s">
        <v>96</v>
      </c>
      <c r="AE76" t="s">
        <v>330</v>
      </c>
      <c r="AF76" t="s">
        <v>333</v>
      </c>
      <c r="AG76" t="s">
        <v>185</v>
      </c>
      <c r="AH76" t="s">
        <v>49</v>
      </c>
      <c r="AI76" t="s">
        <v>334</v>
      </c>
      <c r="AM76" t="s">
        <v>58</v>
      </c>
      <c r="AN76" t="s">
        <v>59</v>
      </c>
      <c r="AO76" t="s">
        <v>29</v>
      </c>
      <c r="AP76" t="s">
        <v>60</v>
      </c>
      <c r="AQ76" t="s">
        <v>6</v>
      </c>
      <c r="AR76" t="s">
        <v>43</v>
      </c>
      <c r="AS76" t="s">
        <v>27</v>
      </c>
      <c r="AT76" t="s">
        <v>61</v>
      </c>
      <c r="AU76" t="s">
        <v>62</v>
      </c>
      <c r="AV76" t="s">
        <v>63</v>
      </c>
      <c r="AW76" t="s">
        <v>64</v>
      </c>
      <c r="BA76" t="s">
        <v>202</v>
      </c>
      <c r="BB76" t="s">
        <v>203</v>
      </c>
      <c r="BC76" t="s">
        <v>199</v>
      </c>
      <c r="BD76" t="s">
        <v>38</v>
      </c>
      <c r="BE76" t="s">
        <v>204</v>
      </c>
      <c r="BF76" t="s">
        <v>132</v>
      </c>
      <c r="BG76" t="s">
        <v>203</v>
      </c>
      <c r="BH76" t="s">
        <v>24</v>
      </c>
      <c r="BI76" t="s">
        <v>28</v>
      </c>
      <c r="BJ76" t="s">
        <v>194</v>
      </c>
      <c r="BK76" t="s">
        <v>27</v>
      </c>
      <c r="BO76" t="s">
        <v>186</v>
      </c>
      <c r="BP76" t="s">
        <v>183</v>
      </c>
      <c r="BQ76" t="s">
        <v>187</v>
      </c>
      <c r="BR76" t="s">
        <v>182</v>
      </c>
      <c r="BS76" t="s">
        <v>81</v>
      </c>
      <c r="BT76" t="s">
        <v>24</v>
      </c>
      <c r="BU76" t="s">
        <v>27</v>
      </c>
      <c r="BV76" t="s">
        <v>163</v>
      </c>
      <c r="BW76" t="s">
        <v>36</v>
      </c>
      <c r="BX76" t="s">
        <v>188</v>
      </c>
      <c r="BY76" t="s">
        <v>21</v>
      </c>
      <c r="CQ76" t="s">
        <v>300</v>
      </c>
      <c r="CR76" t="s">
        <v>26</v>
      </c>
      <c r="CS76" t="s">
        <v>301</v>
      </c>
      <c r="CT76" t="s">
        <v>3</v>
      </c>
      <c r="CU76" t="s">
        <v>302</v>
      </c>
      <c r="CV76" t="s">
        <v>303</v>
      </c>
      <c r="CW76" t="s">
        <v>27</v>
      </c>
      <c r="CX76" t="s">
        <v>55</v>
      </c>
      <c r="CY76" t="s">
        <v>304</v>
      </c>
      <c r="CZ76" t="s">
        <v>305</v>
      </c>
      <c r="DA76" t="s">
        <v>306</v>
      </c>
      <c r="DE76" t="s">
        <v>269</v>
      </c>
      <c r="DF76" t="s">
        <v>139</v>
      </c>
      <c r="DG76" t="s">
        <v>270</v>
      </c>
      <c r="DH76" t="s">
        <v>249</v>
      </c>
      <c r="DI76" t="s">
        <v>37</v>
      </c>
      <c r="DJ76" t="s">
        <v>268</v>
      </c>
      <c r="DK76" t="s">
        <v>26</v>
      </c>
      <c r="DL76" t="s">
        <v>20</v>
      </c>
      <c r="DM76" t="s">
        <v>27</v>
      </c>
      <c r="DN76" t="s">
        <v>271</v>
      </c>
      <c r="DO76" t="s">
        <v>62</v>
      </c>
    </row>
    <row r="77" spans="1:119" x14ac:dyDescent="0.25">
      <c r="A77" t="s">
        <v>371</v>
      </c>
      <c r="B77" t="s">
        <v>132</v>
      </c>
      <c r="C77" t="s">
        <v>6</v>
      </c>
      <c r="D77" t="s">
        <v>344</v>
      </c>
      <c r="E77" t="s">
        <v>372</v>
      </c>
      <c r="F77" t="s">
        <v>55</v>
      </c>
      <c r="G77" t="s">
        <v>64</v>
      </c>
      <c r="H77" t="s">
        <v>373</v>
      </c>
      <c r="I77" t="s">
        <v>26</v>
      </c>
      <c r="J77" t="s">
        <v>374</v>
      </c>
      <c r="K77" t="s">
        <v>188</v>
      </c>
      <c r="Y77" t="s">
        <v>335</v>
      </c>
      <c r="Z77" t="s">
        <v>6</v>
      </c>
      <c r="AA77" t="s">
        <v>330</v>
      </c>
      <c r="AB77" t="s">
        <v>15</v>
      </c>
      <c r="AC77" t="s">
        <v>76</v>
      </c>
      <c r="AD77" t="s">
        <v>37</v>
      </c>
      <c r="AE77" t="s">
        <v>27</v>
      </c>
      <c r="AF77" t="s">
        <v>336</v>
      </c>
      <c r="AG77" t="s">
        <v>125</v>
      </c>
      <c r="AH77" t="s">
        <v>337</v>
      </c>
      <c r="AI77" t="s">
        <v>276</v>
      </c>
      <c r="AM77" t="s">
        <v>186</v>
      </c>
      <c r="AN77" t="s">
        <v>183</v>
      </c>
      <c r="AO77" t="s">
        <v>187</v>
      </c>
      <c r="AP77" t="s">
        <v>182</v>
      </c>
      <c r="AQ77" t="s">
        <v>81</v>
      </c>
      <c r="AR77" t="s">
        <v>24</v>
      </c>
      <c r="AS77" t="s">
        <v>27</v>
      </c>
      <c r="AT77" t="s">
        <v>163</v>
      </c>
      <c r="AU77" t="s">
        <v>36</v>
      </c>
      <c r="AV77" t="s">
        <v>188</v>
      </c>
      <c r="AW77" t="s">
        <v>21</v>
      </c>
      <c r="BA77" t="s">
        <v>205</v>
      </c>
      <c r="BB77" t="s">
        <v>206</v>
      </c>
      <c r="BC77" t="s">
        <v>207</v>
      </c>
      <c r="BD77" t="s">
        <v>27</v>
      </c>
      <c r="BE77" t="s">
        <v>149</v>
      </c>
      <c r="BF77" t="s">
        <v>208</v>
      </c>
      <c r="BG77" t="s">
        <v>159</v>
      </c>
      <c r="BH77" t="s">
        <v>209</v>
      </c>
      <c r="BI77" t="s">
        <v>182</v>
      </c>
      <c r="BJ77" t="s">
        <v>210</v>
      </c>
      <c r="BK77" t="s">
        <v>206</v>
      </c>
      <c r="BO77" t="s">
        <v>202</v>
      </c>
      <c r="BP77" t="s">
        <v>203</v>
      </c>
      <c r="BQ77" t="s">
        <v>199</v>
      </c>
      <c r="BR77" t="s">
        <v>38</v>
      </c>
      <c r="BS77" t="s">
        <v>204</v>
      </c>
      <c r="BT77" t="s">
        <v>132</v>
      </c>
      <c r="BU77" t="s">
        <v>203</v>
      </c>
      <c r="BV77" t="s">
        <v>24</v>
      </c>
      <c r="BW77" t="s">
        <v>28</v>
      </c>
      <c r="BX77" t="s">
        <v>194</v>
      </c>
      <c r="BY77" t="s">
        <v>27</v>
      </c>
      <c r="CC77" t="s">
        <v>447</v>
      </c>
      <c r="CQ77" t="s">
        <v>317</v>
      </c>
      <c r="CR77" t="s">
        <v>318</v>
      </c>
      <c r="CS77" t="s">
        <v>319</v>
      </c>
      <c r="CT77" t="s">
        <v>282</v>
      </c>
      <c r="CU77" t="s">
        <v>320</v>
      </c>
      <c r="CV77" t="s">
        <v>279</v>
      </c>
      <c r="CW77" t="s">
        <v>242</v>
      </c>
      <c r="CX77" t="s">
        <v>26</v>
      </c>
      <c r="CY77" t="s">
        <v>27</v>
      </c>
      <c r="CZ77" t="s">
        <v>49</v>
      </c>
      <c r="DA77" t="s">
        <v>105</v>
      </c>
    </row>
    <row r="78" spans="1:119" x14ac:dyDescent="0.25">
      <c r="A78" t="s">
        <v>375</v>
      </c>
      <c r="B78" t="s">
        <v>376</v>
      </c>
      <c r="C78" t="s">
        <v>132</v>
      </c>
      <c r="D78" t="s">
        <v>39</v>
      </c>
      <c r="E78" t="s">
        <v>27</v>
      </c>
      <c r="F78" t="s">
        <v>368</v>
      </c>
      <c r="G78" t="s">
        <v>377</v>
      </c>
      <c r="H78" t="s">
        <v>188</v>
      </c>
      <c r="I78" t="s">
        <v>378</v>
      </c>
      <c r="J78" t="s">
        <v>379</v>
      </c>
      <c r="K78" t="s">
        <v>250</v>
      </c>
      <c r="Y78" t="s">
        <v>338</v>
      </c>
      <c r="Z78" t="s">
        <v>339</v>
      </c>
      <c r="AA78" t="s">
        <v>121</v>
      </c>
      <c r="AB78" t="s">
        <v>340</v>
      </c>
      <c r="AC78" t="s">
        <v>341</v>
      </c>
      <c r="AD78" t="s">
        <v>96</v>
      </c>
      <c r="AE78" t="s">
        <v>330</v>
      </c>
      <c r="AF78" t="s">
        <v>27</v>
      </c>
      <c r="AG78" t="s">
        <v>291</v>
      </c>
      <c r="AH78" t="s">
        <v>149</v>
      </c>
      <c r="AI78" t="s">
        <v>277</v>
      </c>
      <c r="AM78" t="s">
        <v>202</v>
      </c>
      <c r="AN78" t="s">
        <v>203</v>
      </c>
      <c r="AO78" t="s">
        <v>199</v>
      </c>
      <c r="AP78" t="s">
        <v>38</v>
      </c>
      <c r="AQ78" t="s">
        <v>204</v>
      </c>
      <c r="AR78" t="s">
        <v>132</v>
      </c>
      <c r="AS78" t="s">
        <v>203</v>
      </c>
      <c r="AT78" t="s">
        <v>24</v>
      </c>
      <c r="AU78" t="s">
        <v>28</v>
      </c>
      <c r="AV78" t="s">
        <v>194</v>
      </c>
      <c r="AW78" t="s">
        <v>27</v>
      </c>
      <c r="BA78" t="s">
        <v>238</v>
      </c>
      <c r="BB78" t="s">
        <v>239</v>
      </c>
      <c r="BC78" t="s">
        <v>1</v>
      </c>
      <c r="BD78" t="s">
        <v>240</v>
      </c>
      <c r="BE78" t="s">
        <v>121</v>
      </c>
      <c r="BF78" t="s">
        <v>52</v>
      </c>
      <c r="BG78" t="s">
        <v>241</v>
      </c>
      <c r="BH78" t="s">
        <v>242</v>
      </c>
      <c r="BI78" t="s">
        <v>243</v>
      </c>
      <c r="BJ78" t="s">
        <v>3</v>
      </c>
      <c r="BK78" t="s">
        <v>27</v>
      </c>
      <c r="BO78" t="s">
        <v>205</v>
      </c>
      <c r="BP78" t="s">
        <v>206</v>
      </c>
      <c r="BQ78" t="s">
        <v>207</v>
      </c>
      <c r="BR78" t="s">
        <v>27</v>
      </c>
      <c r="BS78" t="s">
        <v>149</v>
      </c>
      <c r="BT78" t="s">
        <v>208</v>
      </c>
      <c r="BU78" t="s">
        <v>159</v>
      </c>
      <c r="BV78" t="s">
        <v>209</v>
      </c>
      <c r="BW78" t="s">
        <v>182</v>
      </c>
      <c r="BX78" t="s">
        <v>210</v>
      </c>
      <c r="BY78" t="s">
        <v>206</v>
      </c>
      <c r="CC78" t="s">
        <v>257</v>
      </c>
      <c r="CD78" t="s">
        <v>258</v>
      </c>
      <c r="CE78" t="s">
        <v>27</v>
      </c>
      <c r="CF78" t="s">
        <v>249</v>
      </c>
      <c r="CG78" t="s">
        <v>62</v>
      </c>
      <c r="CH78" t="s">
        <v>28</v>
      </c>
      <c r="CI78" t="s">
        <v>139</v>
      </c>
      <c r="CJ78" t="s">
        <v>222</v>
      </c>
      <c r="CK78" t="s">
        <v>86</v>
      </c>
      <c r="CL78" t="s">
        <v>39</v>
      </c>
      <c r="CM78" t="s">
        <v>25</v>
      </c>
      <c r="DD78" t="s">
        <v>504</v>
      </c>
      <c r="DE78" t="s">
        <v>489</v>
      </c>
    </row>
    <row r="79" spans="1:119" x14ac:dyDescent="0.25">
      <c r="A79" t="s">
        <v>380</v>
      </c>
      <c r="B79" t="s">
        <v>26</v>
      </c>
      <c r="C79" t="s">
        <v>127</v>
      </c>
      <c r="D79" t="s">
        <v>130</v>
      </c>
      <c r="E79" t="s">
        <v>242</v>
      </c>
      <c r="F79" t="s">
        <v>327</v>
      </c>
      <c r="G79" t="s">
        <v>344</v>
      </c>
      <c r="H79" t="s">
        <v>28</v>
      </c>
      <c r="I79" t="s">
        <v>83</v>
      </c>
      <c r="J79" t="s">
        <v>37</v>
      </c>
      <c r="K79" t="s">
        <v>381</v>
      </c>
      <c r="Y79" t="s">
        <v>345</v>
      </c>
      <c r="Z79" t="s">
        <v>29</v>
      </c>
      <c r="AA79" t="s">
        <v>61</v>
      </c>
      <c r="AB79" t="s">
        <v>42</v>
      </c>
      <c r="AC79" t="s">
        <v>8</v>
      </c>
      <c r="AD79" t="s">
        <v>344</v>
      </c>
      <c r="AE79" t="s">
        <v>46</v>
      </c>
      <c r="AF79" t="s">
        <v>346</v>
      </c>
      <c r="AG79" t="s">
        <v>184</v>
      </c>
      <c r="AH79" t="s">
        <v>28</v>
      </c>
      <c r="AI79" t="s">
        <v>347</v>
      </c>
      <c r="AM79" t="s">
        <v>205</v>
      </c>
      <c r="AN79" t="s">
        <v>206</v>
      </c>
      <c r="AO79" t="s">
        <v>207</v>
      </c>
      <c r="AP79" t="s">
        <v>27</v>
      </c>
      <c r="AQ79" t="s">
        <v>149</v>
      </c>
      <c r="AR79" t="s">
        <v>208</v>
      </c>
      <c r="AS79" t="s">
        <v>159</v>
      </c>
      <c r="AT79" t="s">
        <v>209</v>
      </c>
      <c r="AU79" t="s">
        <v>182</v>
      </c>
      <c r="AV79" t="s">
        <v>210</v>
      </c>
      <c r="AW79" t="s">
        <v>206</v>
      </c>
      <c r="BA79" t="s">
        <v>248</v>
      </c>
      <c r="BB79" t="s">
        <v>139</v>
      </c>
      <c r="BC79" t="s">
        <v>249</v>
      </c>
      <c r="BD79" t="s">
        <v>250</v>
      </c>
      <c r="BE79" t="s">
        <v>27</v>
      </c>
      <c r="BF79" t="s">
        <v>251</v>
      </c>
      <c r="BG79" t="s">
        <v>252</v>
      </c>
      <c r="BH79" t="s">
        <v>253</v>
      </c>
      <c r="BI79" t="s">
        <v>254</v>
      </c>
      <c r="BJ79" t="s">
        <v>255</v>
      </c>
      <c r="BK79" t="s">
        <v>79</v>
      </c>
      <c r="BO79" t="s">
        <v>248</v>
      </c>
      <c r="BP79" t="s">
        <v>139</v>
      </c>
      <c r="BQ79" t="s">
        <v>249</v>
      </c>
      <c r="BR79" t="s">
        <v>250</v>
      </c>
      <c r="BS79" t="s">
        <v>27</v>
      </c>
      <c r="BT79" t="s">
        <v>251</v>
      </c>
      <c r="BU79" t="s">
        <v>252</v>
      </c>
      <c r="BV79" t="s">
        <v>253</v>
      </c>
      <c r="BW79" t="s">
        <v>254</v>
      </c>
      <c r="BX79" t="s">
        <v>255</v>
      </c>
      <c r="BY79" t="s">
        <v>79</v>
      </c>
      <c r="CQ79" t="s">
        <v>466</v>
      </c>
      <c r="DE79" t="s">
        <v>22</v>
      </c>
      <c r="DF79" t="s">
        <v>23</v>
      </c>
      <c r="DG79" t="s">
        <v>24</v>
      </c>
      <c r="DH79" t="s">
        <v>25</v>
      </c>
      <c r="DI79" t="s">
        <v>26</v>
      </c>
      <c r="DJ79" t="s">
        <v>27</v>
      </c>
      <c r="DK79" t="s">
        <v>28</v>
      </c>
      <c r="DL79" t="s">
        <v>29</v>
      </c>
      <c r="DM79" t="s">
        <v>30</v>
      </c>
      <c r="DN79" t="s">
        <v>31</v>
      </c>
      <c r="DO79" t="s">
        <v>32</v>
      </c>
    </row>
    <row r="80" spans="1:119" x14ac:dyDescent="0.25">
      <c r="A80" t="s">
        <v>392</v>
      </c>
      <c r="B80" t="s">
        <v>132</v>
      </c>
      <c r="C80" t="s">
        <v>382</v>
      </c>
      <c r="D80" t="s">
        <v>383</v>
      </c>
      <c r="E80" t="s">
        <v>382</v>
      </c>
      <c r="F80" t="s">
        <v>384</v>
      </c>
      <c r="G80" t="s">
        <v>39</v>
      </c>
      <c r="H80" t="s">
        <v>344</v>
      </c>
      <c r="I80" t="s">
        <v>139</v>
      </c>
      <c r="J80" t="s">
        <v>385</v>
      </c>
      <c r="K80" t="s">
        <v>386</v>
      </c>
      <c r="Y80" t="s">
        <v>348</v>
      </c>
      <c r="Z80" t="s">
        <v>349</v>
      </c>
      <c r="AA80" t="s">
        <v>29</v>
      </c>
      <c r="AB80" t="s">
        <v>139</v>
      </c>
      <c r="AC80" t="s">
        <v>350</v>
      </c>
      <c r="AD80" t="s">
        <v>222</v>
      </c>
      <c r="AE80" t="s">
        <v>184</v>
      </c>
      <c r="AF80" t="s">
        <v>37</v>
      </c>
      <c r="AG80" t="s">
        <v>62</v>
      </c>
      <c r="AH80" t="s">
        <v>64</v>
      </c>
      <c r="AI80" t="s">
        <v>351</v>
      </c>
      <c r="AM80" t="s">
        <v>238</v>
      </c>
      <c r="AN80" t="s">
        <v>239</v>
      </c>
      <c r="AO80" t="s">
        <v>1</v>
      </c>
      <c r="AP80" t="s">
        <v>240</v>
      </c>
      <c r="AQ80" t="s">
        <v>121</v>
      </c>
      <c r="AR80" t="s">
        <v>52</v>
      </c>
      <c r="AS80" t="s">
        <v>241</v>
      </c>
      <c r="AT80" t="s">
        <v>242</v>
      </c>
      <c r="AU80" t="s">
        <v>243</v>
      </c>
      <c r="AV80" t="s">
        <v>3</v>
      </c>
      <c r="AW80" t="s">
        <v>27</v>
      </c>
      <c r="BA80" t="s">
        <v>257</v>
      </c>
      <c r="BB80" t="s">
        <v>258</v>
      </c>
      <c r="BC80" t="s">
        <v>27</v>
      </c>
      <c r="BD80" t="s">
        <v>249</v>
      </c>
      <c r="BE80" t="s">
        <v>62</v>
      </c>
      <c r="BF80" t="s">
        <v>28</v>
      </c>
      <c r="BG80" t="s">
        <v>139</v>
      </c>
      <c r="BH80" t="s">
        <v>222</v>
      </c>
      <c r="BI80" t="s">
        <v>86</v>
      </c>
      <c r="BJ80" t="s">
        <v>39</v>
      </c>
      <c r="BK80" t="s">
        <v>25</v>
      </c>
      <c r="BO80" t="s">
        <v>257</v>
      </c>
      <c r="BP80" t="s">
        <v>258</v>
      </c>
      <c r="BQ80" t="s">
        <v>27</v>
      </c>
      <c r="BR80" t="s">
        <v>249</v>
      </c>
      <c r="BS80" t="s">
        <v>62</v>
      </c>
      <c r="BT80" t="s">
        <v>28</v>
      </c>
      <c r="BU80" t="s">
        <v>139</v>
      </c>
      <c r="BV80" t="s">
        <v>222</v>
      </c>
      <c r="BW80" t="s">
        <v>86</v>
      </c>
      <c r="BX80" t="s">
        <v>39</v>
      </c>
      <c r="BY80" t="s">
        <v>25</v>
      </c>
      <c r="CC80" t="s">
        <v>446</v>
      </c>
      <c r="CQ80" t="s">
        <v>257</v>
      </c>
      <c r="CR80" t="s">
        <v>258</v>
      </c>
      <c r="CS80" t="s">
        <v>27</v>
      </c>
      <c r="CT80" t="s">
        <v>249</v>
      </c>
      <c r="CU80" t="s">
        <v>62</v>
      </c>
      <c r="CV80" t="s">
        <v>28</v>
      </c>
      <c r="CW80" t="s">
        <v>139</v>
      </c>
      <c r="CX80" t="s">
        <v>222</v>
      </c>
      <c r="CY80" t="s">
        <v>86</v>
      </c>
      <c r="CZ80" t="s">
        <v>39</v>
      </c>
      <c r="DA80" t="s">
        <v>25</v>
      </c>
      <c r="DE80" t="s">
        <v>33</v>
      </c>
      <c r="DF80" t="s">
        <v>34</v>
      </c>
      <c r="DG80" t="s">
        <v>35</v>
      </c>
      <c r="DH80" t="s">
        <v>36</v>
      </c>
      <c r="DI80" t="s">
        <v>23</v>
      </c>
      <c r="DJ80" t="s">
        <v>37</v>
      </c>
      <c r="DK80" t="s">
        <v>26</v>
      </c>
      <c r="DL80" t="s">
        <v>38</v>
      </c>
      <c r="DM80" t="s">
        <v>27</v>
      </c>
      <c r="DN80" t="s">
        <v>39</v>
      </c>
      <c r="DO80" t="s">
        <v>40</v>
      </c>
    </row>
    <row r="81" spans="1:119" x14ac:dyDescent="0.25">
      <c r="A81" t="s">
        <v>387</v>
      </c>
      <c r="B81" t="s">
        <v>388</v>
      </c>
      <c r="C81" t="s">
        <v>132</v>
      </c>
      <c r="D81" t="s">
        <v>188</v>
      </c>
      <c r="E81" t="s">
        <v>139</v>
      </c>
      <c r="F81" t="s">
        <v>26</v>
      </c>
      <c r="G81" t="s">
        <v>389</v>
      </c>
      <c r="H81" t="s">
        <v>62</v>
      </c>
      <c r="I81" t="s">
        <v>182</v>
      </c>
      <c r="J81" t="s">
        <v>25</v>
      </c>
      <c r="K81" t="s">
        <v>390</v>
      </c>
      <c r="Y81" t="s">
        <v>359</v>
      </c>
      <c r="Z81" t="s">
        <v>6</v>
      </c>
      <c r="AA81" t="s">
        <v>344</v>
      </c>
      <c r="AB81" t="s">
        <v>357</v>
      </c>
      <c r="AC81" t="s">
        <v>27</v>
      </c>
      <c r="AD81" t="s">
        <v>88</v>
      </c>
      <c r="AE81" t="s">
        <v>64</v>
      </c>
      <c r="AF81" t="s">
        <v>36</v>
      </c>
      <c r="AG81" t="s">
        <v>46</v>
      </c>
      <c r="AH81" t="s">
        <v>360</v>
      </c>
      <c r="AI81" t="s">
        <v>60</v>
      </c>
      <c r="AM81" t="s">
        <v>248</v>
      </c>
      <c r="AN81" t="s">
        <v>139</v>
      </c>
      <c r="AO81" t="s">
        <v>249</v>
      </c>
      <c r="AP81" t="s">
        <v>250</v>
      </c>
      <c r="AQ81" t="s">
        <v>27</v>
      </c>
      <c r="AR81" t="s">
        <v>251</v>
      </c>
      <c r="AS81" t="s">
        <v>252</v>
      </c>
      <c r="AT81" t="s">
        <v>253</v>
      </c>
      <c r="AU81" t="s">
        <v>254</v>
      </c>
      <c r="AV81" t="s">
        <v>255</v>
      </c>
      <c r="AW81" t="s">
        <v>79</v>
      </c>
      <c r="BA81" t="s">
        <v>272</v>
      </c>
      <c r="BB81" t="s">
        <v>273</v>
      </c>
      <c r="BC81" t="s">
        <v>27</v>
      </c>
      <c r="BD81" t="s">
        <v>139</v>
      </c>
      <c r="BE81" t="s">
        <v>6</v>
      </c>
      <c r="BF81" t="s">
        <v>88</v>
      </c>
      <c r="BG81" t="s">
        <v>27</v>
      </c>
      <c r="BH81" t="s">
        <v>24</v>
      </c>
      <c r="BI81" t="s">
        <v>198</v>
      </c>
      <c r="BJ81" t="s">
        <v>249</v>
      </c>
      <c r="BK81" t="s">
        <v>274</v>
      </c>
      <c r="BO81" t="s">
        <v>272</v>
      </c>
      <c r="BP81" t="s">
        <v>273</v>
      </c>
      <c r="BQ81" t="s">
        <v>27</v>
      </c>
      <c r="BR81" t="s">
        <v>139</v>
      </c>
      <c r="BS81" t="s">
        <v>6</v>
      </c>
      <c r="BT81" t="s">
        <v>88</v>
      </c>
      <c r="BU81" t="s">
        <v>27</v>
      </c>
      <c r="BV81" t="s">
        <v>24</v>
      </c>
      <c r="BW81" t="s">
        <v>198</v>
      </c>
      <c r="BX81" t="s">
        <v>249</v>
      </c>
      <c r="BY81" t="s">
        <v>274</v>
      </c>
      <c r="CC81" t="s">
        <v>137</v>
      </c>
      <c r="CD81" t="s">
        <v>138</v>
      </c>
      <c r="CE81" t="s">
        <v>139</v>
      </c>
      <c r="CF81" t="s">
        <v>140</v>
      </c>
      <c r="CG81" t="s">
        <v>121</v>
      </c>
      <c r="CH81" t="s">
        <v>121</v>
      </c>
      <c r="CI81" t="s">
        <v>141</v>
      </c>
      <c r="CJ81" t="s">
        <v>26</v>
      </c>
      <c r="CK81" t="s">
        <v>142</v>
      </c>
      <c r="CL81" t="s">
        <v>143</v>
      </c>
      <c r="CM81" t="s">
        <v>27</v>
      </c>
      <c r="DE81" t="s">
        <v>104</v>
      </c>
      <c r="DF81" t="s">
        <v>26</v>
      </c>
      <c r="DG81" t="s">
        <v>54</v>
      </c>
      <c r="DH81" t="s">
        <v>105</v>
      </c>
      <c r="DI81" t="s">
        <v>106</v>
      </c>
      <c r="DJ81" t="s">
        <v>107</v>
      </c>
      <c r="DK81" t="s">
        <v>8</v>
      </c>
      <c r="DL81" t="s">
        <v>73</v>
      </c>
      <c r="DM81" t="s">
        <v>27</v>
      </c>
      <c r="DN81" t="s">
        <v>108</v>
      </c>
      <c r="DO81" t="s">
        <v>109</v>
      </c>
    </row>
    <row r="82" spans="1:119" x14ac:dyDescent="0.25">
      <c r="Y82" t="s">
        <v>361</v>
      </c>
      <c r="Z82" t="s">
        <v>88</v>
      </c>
      <c r="AA82" t="s">
        <v>61</v>
      </c>
      <c r="AB82" t="s">
        <v>56</v>
      </c>
      <c r="AC82" t="s">
        <v>46</v>
      </c>
      <c r="AD82" t="s">
        <v>344</v>
      </c>
      <c r="AE82" t="s">
        <v>362</v>
      </c>
      <c r="AF82" t="s">
        <v>42</v>
      </c>
      <c r="AG82" t="s">
        <v>60</v>
      </c>
      <c r="AH82" t="s">
        <v>6</v>
      </c>
      <c r="AI82" t="s">
        <v>55</v>
      </c>
      <c r="AM82" t="s">
        <v>257</v>
      </c>
      <c r="AN82" t="s">
        <v>258</v>
      </c>
      <c r="AO82" t="s">
        <v>27</v>
      </c>
      <c r="AP82" t="s">
        <v>249</v>
      </c>
      <c r="AQ82" t="s">
        <v>62</v>
      </c>
      <c r="AR82" t="s">
        <v>28</v>
      </c>
      <c r="AS82" t="s">
        <v>139</v>
      </c>
      <c r="AT82" t="s">
        <v>222</v>
      </c>
      <c r="AU82" t="s">
        <v>86</v>
      </c>
      <c r="AV82" t="s">
        <v>39</v>
      </c>
      <c r="AW82" t="s">
        <v>25</v>
      </c>
      <c r="BA82" t="s">
        <v>338</v>
      </c>
      <c r="BB82" t="s">
        <v>339</v>
      </c>
      <c r="BC82" t="s">
        <v>121</v>
      </c>
      <c r="BD82" t="s">
        <v>340</v>
      </c>
      <c r="BE82" t="s">
        <v>341</v>
      </c>
      <c r="BF82" t="s">
        <v>96</v>
      </c>
      <c r="BG82" t="s">
        <v>330</v>
      </c>
      <c r="BH82" t="s">
        <v>27</v>
      </c>
      <c r="BI82" t="s">
        <v>291</v>
      </c>
      <c r="BJ82" t="s">
        <v>149</v>
      </c>
      <c r="BK82" t="s">
        <v>277</v>
      </c>
      <c r="BO82" t="s">
        <v>375</v>
      </c>
      <c r="BP82" t="s">
        <v>376</v>
      </c>
      <c r="BQ82" t="s">
        <v>132</v>
      </c>
      <c r="BR82" t="s">
        <v>39</v>
      </c>
      <c r="BS82" t="s">
        <v>27</v>
      </c>
      <c r="BT82" t="s">
        <v>368</v>
      </c>
      <c r="BU82" t="s">
        <v>377</v>
      </c>
      <c r="BV82" t="s">
        <v>188</v>
      </c>
      <c r="BW82" t="s">
        <v>378</v>
      </c>
      <c r="BX82" t="s">
        <v>379</v>
      </c>
      <c r="BY82" t="s">
        <v>250</v>
      </c>
      <c r="CC82" t="s">
        <v>235</v>
      </c>
      <c r="CD82" t="s">
        <v>1</v>
      </c>
      <c r="CE82" t="s">
        <v>132</v>
      </c>
      <c r="CF82" t="s">
        <v>52</v>
      </c>
      <c r="CG82" t="s">
        <v>236</v>
      </c>
      <c r="CH82" t="s">
        <v>26</v>
      </c>
      <c r="CI82" t="s">
        <v>237</v>
      </c>
      <c r="CJ82" t="s">
        <v>210</v>
      </c>
      <c r="CK82" t="s">
        <v>27</v>
      </c>
      <c r="CL82" t="s">
        <v>121</v>
      </c>
      <c r="CM82" t="s">
        <v>207</v>
      </c>
      <c r="CQ82" t="s">
        <v>467</v>
      </c>
      <c r="DE82" t="s">
        <v>218</v>
      </c>
      <c r="DF82" t="s">
        <v>26</v>
      </c>
      <c r="DG82" t="s">
        <v>219</v>
      </c>
      <c r="DH82" t="s">
        <v>206</v>
      </c>
      <c r="DI82" t="s">
        <v>220</v>
      </c>
      <c r="DJ82" t="s">
        <v>207</v>
      </c>
      <c r="DK82" t="s">
        <v>221</v>
      </c>
      <c r="DL82" t="s">
        <v>209</v>
      </c>
      <c r="DM82" t="s">
        <v>27</v>
      </c>
      <c r="DN82" t="s">
        <v>222</v>
      </c>
      <c r="DO82" t="s">
        <v>208</v>
      </c>
    </row>
    <row r="83" spans="1:119" x14ac:dyDescent="0.25">
      <c r="Y83" t="s">
        <v>375</v>
      </c>
      <c r="Z83" t="s">
        <v>376</v>
      </c>
      <c r="AA83" t="s">
        <v>132</v>
      </c>
      <c r="AB83" t="s">
        <v>39</v>
      </c>
      <c r="AC83" t="s">
        <v>27</v>
      </c>
      <c r="AD83" t="s">
        <v>368</v>
      </c>
      <c r="AE83" t="s">
        <v>377</v>
      </c>
      <c r="AF83" t="s">
        <v>188</v>
      </c>
      <c r="AG83" t="s">
        <v>378</v>
      </c>
      <c r="AH83" t="s">
        <v>379</v>
      </c>
      <c r="AI83" t="s">
        <v>250</v>
      </c>
      <c r="AM83" t="s">
        <v>259</v>
      </c>
      <c r="AN83" t="s">
        <v>6</v>
      </c>
      <c r="AO83" t="s">
        <v>258</v>
      </c>
      <c r="AP83" t="s">
        <v>88</v>
      </c>
      <c r="AQ83" t="s">
        <v>260</v>
      </c>
      <c r="AR83" t="s">
        <v>258</v>
      </c>
      <c r="AS83" t="s">
        <v>74</v>
      </c>
      <c r="AT83" t="s">
        <v>27</v>
      </c>
      <c r="AU83" t="s">
        <v>261</v>
      </c>
      <c r="AV83" t="s">
        <v>148</v>
      </c>
      <c r="AW83" t="s">
        <v>262</v>
      </c>
      <c r="BA83" t="s">
        <v>375</v>
      </c>
      <c r="BB83" t="s">
        <v>376</v>
      </c>
      <c r="BC83" t="s">
        <v>132</v>
      </c>
      <c r="BD83" t="s">
        <v>39</v>
      </c>
      <c r="BE83" t="s">
        <v>27</v>
      </c>
      <c r="BF83" t="s">
        <v>368</v>
      </c>
      <c r="BG83" t="s">
        <v>377</v>
      </c>
      <c r="BH83" t="s">
        <v>188</v>
      </c>
      <c r="BI83" t="s">
        <v>378</v>
      </c>
      <c r="BJ83" t="s">
        <v>379</v>
      </c>
      <c r="BK83" t="s">
        <v>250</v>
      </c>
      <c r="CC83" t="s">
        <v>328</v>
      </c>
      <c r="CD83" t="s">
        <v>26</v>
      </c>
      <c r="CE83" t="s">
        <v>329</v>
      </c>
      <c r="CF83" t="s">
        <v>121</v>
      </c>
      <c r="CG83" t="s">
        <v>117</v>
      </c>
      <c r="CH83" t="s">
        <v>27</v>
      </c>
      <c r="CI83" t="s">
        <v>183</v>
      </c>
      <c r="CJ83" t="s">
        <v>330</v>
      </c>
      <c r="CK83" t="s">
        <v>4</v>
      </c>
      <c r="CL83" t="s">
        <v>327</v>
      </c>
      <c r="CM83" t="s">
        <v>194</v>
      </c>
      <c r="CQ83" t="s">
        <v>137</v>
      </c>
      <c r="CR83" t="s">
        <v>138</v>
      </c>
      <c r="CS83" t="s">
        <v>139</v>
      </c>
      <c r="CT83" t="s">
        <v>140</v>
      </c>
      <c r="CU83" t="s">
        <v>121</v>
      </c>
      <c r="CV83" t="s">
        <v>121</v>
      </c>
      <c r="CW83" t="s">
        <v>141</v>
      </c>
      <c r="CX83" t="s">
        <v>26</v>
      </c>
      <c r="CY83" t="s">
        <v>142</v>
      </c>
      <c r="CZ83" t="s">
        <v>143</v>
      </c>
      <c r="DA83" t="s">
        <v>27</v>
      </c>
      <c r="DE83" t="s">
        <v>300</v>
      </c>
      <c r="DF83" t="s">
        <v>26</v>
      </c>
      <c r="DG83" t="s">
        <v>301</v>
      </c>
      <c r="DH83" t="s">
        <v>3</v>
      </c>
      <c r="DI83" t="s">
        <v>302</v>
      </c>
      <c r="DJ83" t="s">
        <v>303</v>
      </c>
      <c r="DK83" t="s">
        <v>27</v>
      </c>
      <c r="DL83" t="s">
        <v>55</v>
      </c>
      <c r="DM83" t="s">
        <v>304</v>
      </c>
      <c r="DN83" t="s">
        <v>305</v>
      </c>
      <c r="DO83" t="s">
        <v>306</v>
      </c>
    </row>
    <row r="84" spans="1:119" x14ac:dyDescent="0.25">
      <c r="Y84" t="s">
        <v>392</v>
      </c>
      <c r="Z84" t="s">
        <v>132</v>
      </c>
      <c r="AA84" t="s">
        <v>382</v>
      </c>
      <c r="AB84" t="s">
        <v>383</v>
      </c>
      <c r="AC84" t="s">
        <v>382</v>
      </c>
      <c r="AD84" t="s">
        <v>384</v>
      </c>
      <c r="AE84" t="s">
        <v>39</v>
      </c>
      <c r="AF84" t="s">
        <v>344</v>
      </c>
      <c r="AG84" t="s">
        <v>139</v>
      </c>
      <c r="AH84" t="s">
        <v>385</v>
      </c>
      <c r="AI84" t="s">
        <v>386</v>
      </c>
      <c r="AM84" t="s">
        <v>272</v>
      </c>
      <c r="AN84" t="s">
        <v>273</v>
      </c>
      <c r="AO84" t="s">
        <v>27</v>
      </c>
      <c r="AP84" t="s">
        <v>139</v>
      </c>
      <c r="AQ84" t="s">
        <v>6</v>
      </c>
      <c r="AR84" t="s">
        <v>88</v>
      </c>
      <c r="AS84" t="s">
        <v>27</v>
      </c>
      <c r="AT84" t="s">
        <v>24</v>
      </c>
      <c r="AU84" t="s">
        <v>198</v>
      </c>
      <c r="AV84" t="s">
        <v>249</v>
      </c>
      <c r="AW84" t="s">
        <v>274</v>
      </c>
      <c r="BO84" s="3" t="s">
        <v>432</v>
      </c>
      <c r="CQ84" t="s">
        <v>235</v>
      </c>
      <c r="CR84" t="s">
        <v>1</v>
      </c>
      <c r="CS84" t="s">
        <v>132</v>
      </c>
      <c r="CT84" t="s">
        <v>52</v>
      </c>
      <c r="CU84" t="s">
        <v>236</v>
      </c>
      <c r="CV84" t="s">
        <v>26</v>
      </c>
      <c r="CW84" t="s">
        <v>237</v>
      </c>
      <c r="CX84" t="s">
        <v>210</v>
      </c>
      <c r="CY84" t="s">
        <v>27</v>
      </c>
      <c r="CZ84" t="s">
        <v>121</v>
      </c>
      <c r="DA84" t="s">
        <v>207</v>
      </c>
      <c r="DE84" t="s">
        <v>317</v>
      </c>
      <c r="DF84" t="s">
        <v>318</v>
      </c>
      <c r="DG84" t="s">
        <v>319</v>
      </c>
      <c r="DH84" t="s">
        <v>282</v>
      </c>
      <c r="DI84" t="s">
        <v>320</v>
      </c>
      <c r="DJ84" t="s">
        <v>279</v>
      </c>
      <c r="DK84" t="s">
        <v>242</v>
      </c>
      <c r="DL84" t="s">
        <v>26</v>
      </c>
      <c r="DM84" t="s">
        <v>27</v>
      </c>
      <c r="DN84" t="s">
        <v>49</v>
      </c>
      <c r="DO84" t="s">
        <v>105</v>
      </c>
    </row>
    <row r="85" spans="1:119" x14ac:dyDescent="0.25">
      <c r="AM85" t="s">
        <v>335</v>
      </c>
      <c r="AN85" t="s">
        <v>6</v>
      </c>
      <c r="AO85" t="s">
        <v>330</v>
      </c>
      <c r="AP85" t="s">
        <v>15</v>
      </c>
      <c r="AQ85" t="s">
        <v>76</v>
      </c>
      <c r="AR85" t="s">
        <v>37</v>
      </c>
      <c r="AS85" t="s">
        <v>27</v>
      </c>
      <c r="AT85" t="s">
        <v>336</v>
      </c>
      <c r="AU85" t="s">
        <v>125</v>
      </c>
      <c r="AV85" t="s">
        <v>337</v>
      </c>
      <c r="AW85" t="s">
        <v>276</v>
      </c>
      <c r="BA85" s="3" t="s">
        <v>408</v>
      </c>
      <c r="BO85" t="s">
        <v>129</v>
      </c>
      <c r="BP85" t="s">
        <v>26</v>
      </c>
      <c r="BQ85" t="s">
        <v>130</v>
      </c>
      <c r="BR85" t="s">
        <v>131</v>
      </c>
      <c r="BS85" t="s">
        <v>27</v>
      </c>
      <c r="BT85" t="s">
        <v>132</v>
      </c>
      <c r="BU85" t="s">
        <v>133</v>
      </c>
      <c r="BV85" t="s">
        <v>134</v>
      </c>
      <c r="BW85" t="s">
        <v>6</v>
      </c>
      <c r="BX85" t="s">
        <v>135</v>
      </c>
      <c r="BY85" t="s">
        <v>136</v>
      </c>
      <c r="CC85" s="2" t="s">
        <v>430</v>
      </c>
      <c r="CQ85" t="s">
        <v>328</v>
      </c>
      <c r="CR85" t="s">
        <v>26</v>
      </c>
      <c r="CS85" t="s">
        <v>329</v>
      </c>
      <c r="CT85" t="s">
        <v>121</v>
      </c>
      <c r="CU85" t="s">
        <v>117</v>
      </c>
      <c r="CV85" t="s">
        <v>27</v>
      </c>
      <c r="CW85" t="s">
        <v>183</v>
      </c>
      <c r="CX85" t="s">
        <v>330</v>
      </c>
      <c r="CY85" t="s">
        <v>4</v>
      </c>
      <c r="CZ85" t="s">
        <v>327</v>
      </c>
      <c r="DA85" t="s">
        <v>194</v>
      </c>
    </row>
    <row r="86" spans="1:119" x14ac:dyDescent="0.25">
      <c r="AM86" t="s">
        <v>338</v>
      </c>
      <c r="AN86" t="s">
        <v>339</v>
      </c>
      <c r="AO86" t="s">
        <v>121</v>
      </c>
      <c r="AP86" t="s">
        <v>340</v>
      </c>
      <c r="AQ86" t="s">
        <v>341</v>
      </c>
      <c r="AR86" t="s">
        <v>96</v>
      </c>
      <c r="AS86" t="s">
        <v>330</v>
      </c>
      <c r="AT86" t="s">
        <v>27</v>
      </c>
      <c r="AU86" t="s">
        <v>291</v>
      </c>
      <c r="AV86" t="s">
        <v>149</v>
      </c>
      <c r="AW86" t="s">
        <v>277</v>
      </c>
      <c r="BA86" t="s">
        <v>129</v>
      </c>
      <c r="BB86" t="s">
        <v>26</v>
      </c>
      <c r="BC86" t="s">
        <v>130</v>
      </c>
      <c r="BD86" t="s">
        <v>131</v>
      </c>
      <c r="BE86" t="s">
        <v>27</v>
      </c>
      <c r="BF86" t="s">
        <v>132</v>
      </c>
      <c r="BG86" t="s">
        <v>133</v>
      </c>
      <c r="BH86" t="s">
        <v>134</v>
      </c>
      <c r="BI86" t="s">
        <v>6</v>
      </c>
      <c r="BJ86" t="s">
        <v>135</v>
      </c>
      <c r="BK86" t="s">
        <v>136</v>
      </c>
      <c r="BO86" t="s">
        <v>342</v>
      </c>
      <c r="BP86" t="s">
        <v>29</v>
      </c>
      <c r="BQ86" t="s">
        <v>24</v>
      </c>
      <c r="BR86" t="s">
        <v>6</v>
      </c>
      <c r="BS86" t="s">
        <v>26</v>
      </c>
      <c r="BT86" t="s">
        <v>64</v>
      </c>
      <c r="BU86" t="s">
        <v>292</v>
      </c>
      <c r="BV86" t="s">
        <v>27</v>
      </c>
      <c r="BW86" t="s">
        <v>8</v>
      </c>
      <c r="BX86" t="s">
        <v>42</v>
      </c>
      <c r="BY86" t="s">
        <v>54</v>
      </c>
      <c r="CC86" t="s">
        <v>50</v>
      </c>
      <c r="CD86" t="s">
        <v>46</v>
      </c>
      <c r="CE86" t="s">
        <v>51</v>
      </c>
      <c r="CF86" t="s">
        <v>52</v>
      </c>
      <c r="CG86" t="s">
        <v>53</v>
      </c>
      <c r="CH86" t="s">
        <v>54</v>
      </c>
      <c r="CI86" t="s">
        <v>27</v>
      </c>
      <c r="CJ86" t="s">
        <v>55</v>
      </c>
      <c r="CK86" t="s">
        <v>28</v>
      </c>
      <c r="CL86" t="s">
        <v>56</v>
      </c>
      <c r="CM86" t="s">
        <v>57</v>
      </c>
      <c r="DD86" t="s">
        <v>510</v>
      </c>
      <c r="DE86" t="s">
        <v>490</v>
      </c>
    </row>
    <row r="87" spans="1:119" x14ac:dyDescent="0.25">
      <c r="AM87" t="s">
        <v>359</v>
      </c>
      <c r="AN87" t="s">
        <v>6</v>
      </c>
      <c r="AO87" t="s">
        <v>344</v>
      </c>
      <c r="AP87" t="s">
        <v>357</v>
      </c>
      <c r="AQ87" t="s">
        <v>27</v>
      </c>
      <c r="AR87" t="s">
        <v>88</v>
      </c>
      <c r="AS87" t="s">
        <v>64</v>
      </c>
      <c r="AT87" t="s">
        <v>36</v>
      </c>
      <c r="AU87" t="s">
        <v>46</v>
      </c>
      <c r="AV87" t="s">
        <v>360</v>
      </c>
      <c r="AW87" t="s">
        <v>60</v>
      </c>
      <c r="BA87" t="s">
        <v>342</v>
      </c>
      <c r="BB87" t="s">
        <v>29</v>
      </c>
      <c r="BC87" t="s">
        <v>24</v>
      </c>
      <c r="BD87" t="s">
        <v>6</v>
      </c>
      <c r="BE87" t="s">
        <v>26</v>
      </c>
      <c r="BF87" t="s">
        <v>64</v>
      </c>
      <c r="BG87" t="s">
        <v>292</v>
      </c>
      <c r="BH87" t="s">
        <v>27</v>
      </c>
      <c r="BI87" t="s">
        <v>8</v>
      </c>
      <c r="BJ87" t="s">
        <v>42</v>
      </c>
      <c r="BK87" t="s">
        <v>54</v>
      </c>
      <c r="BO87" t="s">
        <v>366</v>
      </c>
      <c r="BP87" t="s">
        <v>26</v>
      </c>
      <c r="BQ87" t="s">
        <v>132</v>
      </c>
      <c r="BR87" t="s">
        <v>6</v>
      </c>
      <c r="BS87" t="s">
        <v>344</v>
      </c>
      <c r="BT87" t="s">
        <v>39</v>
      </c>
      <c r="BU87" t="s">
        <v>96</v>
      </c>
      <c r="BV87" t="s">
        <v>130</v>
      </c>
      <c r="BW87" t="s">
        <v>27</v>
      </c>
      <c r="BX87" t="s">
        <v>42</v>
      </c>
      <c r="BY87" t="s">
        <v>197</v>
      </c>
      <c r="CC87" t="s">
        <v>186</v>
      </c>
      <c r="CD87" t="s">
        <v>183</v>
      </c>
      <c r="CE87" t="s">
        <v>187</v>
      </c>
      <c r="CF87" t="s">
        <v>182</v>
      </c>
      <c r="CG87" t="s">
        <v>81</v>
      </c>
      <c r="CH87" t="s">
        <v>24</v>
      </c>
      <c r="CI87" t="s">
        <v>27</v>
      </c>
      <c r="CJ87" t="s">
        <v>163</v>
      </c>
      <c r="CK87" t="s">
        <v>36</v>
      </c>
      <c r="CL87" t="s">
        <v>188</v>
      </c>
      <c r="CM87" t="s">
        <v>21</v>
      </c>
      <c r="CQ87" s="2" t="s">
        <v>468</v>
      </c>
      <c r="DE87" t="s">
        <v>181</v>
      </c>
      <c r="DF87" t="s">
        <v>37</v>
      </c>
      <c r="DG87" t="s">
        <v>8</v>
      </c>
      <c r="DH87" t="s">
        <v>182</v>
      </c>
      <c r="DI87" t="s">
        <v>183</v>
      </c>
      <c r="DJ87" t="s">
        <v>184</v>
      </c>
      <c r="DK87" t="s">
        <v>185</v>
      </c>
      <c r="DL87" t="s">
        <v>139</v>
      </c>
      <c r="DM87" t="s">
        <v>27</v>
      </c>
      <c r="DN87" t="s">
        <v>26</v>
      </c>
      <c r="DO87" t="s">
        <v>24</v>
      </c>
    </row>
    <row r="88" spans="1:119" x14ac:dyDescent="0.25">
      <c r="AM88" t="s">
        <v>375</v>
      </c>
      <c r="AN88" t="s">
        <v>376</v>
      </c>
      <c r="AO88" t="s">
        <v>132</v>
      </c>
      <c r="AP88" t="s">
        <v>39</v>
      </c>
      <c r="AQ88" t="s">
        <v>27</v>
      </c>
      <c r="AR88" t="s">
        <v>368</v>
      </c>
      <c r="AS88" t="s">
        <v>377</v>
      </c>
      <c r="AT88" t="s">
        <v>188</v>
      </c>
      <c r="AU88" t="s">
        <v>378</v>
      </c>
      <c r="AV88" t="s">
        <v>379</v>
      </c>
      <c r="AW88" t="s">
        <v>250</v>
      </c>
      <c r="BA88" t="s">
        <v>363</v>
      </c>
      <c r="BB88" t="s">
        <v>364</v>
      </c>
      <c r="BC88" t="s">
        <v>6</v>
      </c>
      <c r="BD88" t="s">
        <v>236</v>
      </c>
      <c r="BE88" t="s">
        <v>139</v>
      </c>
      <c r="BF88" t="s">
        <v>121</v>
      </c>
      <c r="BG88" t="s">
        <v>26</v>
      </c>
      <c r="BH88" t="s">
        <v>327</v>
      </c>
      <c r="BI88" t="s">
        <v>27</v>
      </c>
      <c r="BJ88" t="s">
        <v>365</v>
      </c>
      <c r="BK88" t="s">
        <v>56</v>
      </c>
      <c r="CC88" t="s">
        <v>202</v>
      </c>
      <c r="CD88" t="s">
        <v>203</v>
      </c>
      <c r="CE88" t="s">
        <v>199</v>
      </c>
      <c r="CF88" t="s">
        <v>38</v>
      </c>
      <c r="CG88" t="s">
        <v>204</v>
      </c>
      <c r="CH88" t="s">
        <v>132</v>
      </c>
      <c r="CI88" t="s">
        <v>203</v>
      </c>
      <c r="CJ88" t="s">
        <v>24</v>
      </c>
      <c r="CK88" t="s">
        <v>28</v>
      </c>
      <c r="CL88" t="s">
        <v>194</v>
      </c>
      <c r="CM88" t="s">
        <v>27</v>
      </c>
      <c r="CQ88" t="s">
        <v>50</v>
      </c>
      <c r="CR88" t="s">
        <v>46</v>
      </c>
      <c r="CS88" t="s">
        <v>51</v>
      </c>
      <c r="CT88" t="s">
        <v>52</v>
      </c>
      <c r="CU88" t="s">
        <v>53</v>
      </c>
      <c r="CV88" t="s">
        <v>54</v>
      </c>
      <c r="CW88" t="s">
        <v>27</v>
      </c>
      <c r="CX88" t="s">
        <v>55</v>
      </c>
      <c r="CY88" t="s">
        <v>28</v>
      </c>
      <c r="CZ88" t="s">
        <v>56</v>
      </c>
      <c r="DA88" t="s">
        <v>57</v>
      </c>
    </row>
    <row r="89" spans="1:119" x14ac:dyDescent="0.25">
      <c r="BA89" t="s">
        <v>366</v>
      </c>
      <c r="BB89" t="s">
        <v>26</v>
      </c>
      <c r="BC89" t="s">
        <v>132</v>
      </c>
      <c r="BD89" t="s">
        <v>6</v>
      </c>
      <c r="BE89" t="s">
        <v>344</v>
      </c>
      <c r="BF89" t="s">
        <v>39</v>
      </c>
      <c r="BG89" t="s">
        <v>96</v>
      </c>
      <c r="BH89" t="s">
        <v>130</v>
      </c>
      <c r="BI89" t="s">
        <v>27</v>
      </c>
      <c r="BJ89" t="s">
        <v>42</v>
      </c>
      <c r="BK89" t="s">
        <v>197</v>
      </c>
      <c r="BO89" t="s">
        <v>428</v>
      </c>
      <c r="CC89" t="s">
        <v>205</v>
      </c>
      <c r="CD89" t="s">
        <v>206</v>
      </c>
      <c r="CE89" t="s">
        <v>207</v>
      </c>
      <c r="CF89" t="s">
        <v>27</v>
      </c>
      <c r="CG89" t="s">
        <v>149</v>
      </c>
      <c r="CH89" t="s">
        <v>208</v>
      </c>
      <c r="CI89" t="s">
        <v>159</v>
      </c>
      <c r="CJ89" t="s">
        <v>209</v>
      </c>
      <c r="CK89" t="s">
        <v>182</v>
      </c>
      <c r="CL89" t="s">
        <v>210</v>
      </c>
      <c r="CM89" t="s">
        <v>206</v>
      </c>
      <c r="CQ89" t="s">
        <v>186</v>
      </c>
      <c r="CR89" t="s">
        <v>183</v>
      </c>
      <c r="CS89" t="s">
        <v>187</v>
      </c>
      <c r="CT89" t="s">
        <v>182</v>
      </c>
      <c r="CU89" t="s">
        <v>81</v>
      </c>
      <c r="CV89" t="s">
        <v>24</v>
      </c>
      <c r="CW89" t="s">
        <v>27</v>
      </c>
      <c r="CX89" t="s">
        <v>163</v>
      </c>
      <c r="CY89" t="s">
        <v>36</v>
      </c>
      <c r="CZ89" t="s">
        <v>188</v>
      </c>
      <c r="DA89" t="s">
        <v>21</v>
      </c>
      <c r="DD89" t="s">
        <v>510</v>
      </c>
      <c r="DE89" t="s">
        <v>491</v>
      </c>
    </row>
    <row r="90" spans="1:119" x14ac:dyDescent="0.25">
      <c r="BO90" t="s">
        <v>0</v>
      </c>
      <c r="BP90" t="s">
        <v>1</v>
      </c>
      <c r="BQ90" t="s">
        <v>2</v>
      </c>
      <c r="BR90" t="s">
        <v>3</v>
      </c>
      <c r="BS90" t="s">
        <v>4</v>
      </c>
      <c r="BT90" t="s">
        <v>5</v>
      </c>
      <c r="BU90" t="s">
        <v>6</v>
      </c>
      <c r="BV90" t="s">
        <v>7</v>
      </c>
      <c r="BW90" t="s">
        <v>8</v>
      </c>
      <c r="BX90" t="s">
        <v>9</v>
      </c>
      <c r="BY90" t="s">
        <v>10</v>
      </c>
      <c r="CC90" t="s">
        <v>248</v>
      </c>
      <c r="CD90" t="s">
        <v>139</v>
      </c>
      <c r="CE90" t="s">
        <v>249</v>
      </c>
      <c r="CF90" t="s">
        <v>250</v>
      </c>
      <c r="CG90" t="s">
        <v>27</v>
      </c>
      <c r="CH90" t="s">
        <v>251</v>
      </c>
      <c r="CI90" t="s">
        <v>252</v>
      </c>
      <c r="CJ90" t="s">
        <v>253</v>
      </c>
      <c r="CK90" t="s">
        <v>254</v>
      </c>
      <c r="CL90" t="s">
        <v>255</v>
      </c>
      <c r="CM90" t="s">
        <v>79</v>
      </c>
      <c r="CQ90" t="s">
        <v>202</v>
      </c>
      <c r="CR90" t="s">
        <v>203</v>
      </c>
      <c r="CS90" t="s">
        <v>199</v>
      </c>
      <c r="CT90" t="s">
        <v>38</v>
      </c>
      <c r="CU90" t="s">
        <v>204</v>
      </c>
      <c r="CV90" t="s">
        <v>132</v>
      </c>
      <c r="CW90" t="s">
        <v>203</v>
      </c>
      <c r="CX90" t="s">
        <v>24</v>
      </c>
      <c r="CY90" t="s">
        <v>28</v>
      </c>
      <c r="CZ90" t="s">
        <v>194</v>
      </c>
      <c r="DA90" t="s">
        <v>27</v>
      </c>
      <c r="DE90" t="s">
        <v>257</v>
      </c>
      <c r="DF90" t="s">
        <v>258</v>
      </c>
      <c r="DG90" t="s">
        <v>27</v>
      </c>
      <c r="DH90" t="s">
        <v>249</v>
      </c>
      <c r="DI90" t="s">
        <v>62</v>
      </c>
      <c r="DJ90" t="s">
        <v>28</v>
      </c>
      <c r="DK90" t="s">
        <v>139</v>
      </c>
      <c r="DL90" t="s">
        <v>222</v>
      </c>
      <c r="DM90" t="s">
        <v>86</v>
      </c>
      <c r="DN90" t="s">
        <v>39</v>
      </c>
      <c r="DO90" t="s">
        <v>25</v>
      </c>
    </row>
    <row r="91" spans="1:119" x14ac:dyDescent="0.25">
      <c r="BA91" t="s">
        <v>411</v>
      </c>
      <c r="BO91" t="s">
        <v>361</v>
      </c>
      <c r="BP91" t="s">
        <v>88</v>
      </c>
      <c r="BQ91" t="s">
        <v>61</v>
      </c>
      <c r="BR91" t="s">
        <v>56</v>
      </c>
      <c r="BS91" t="s">
        <v>46</v>
      </c>
      <c r="BT91" t="s">
        <v>344</v>
      </c>
      <c r="BU91" t="s">
        <v>362</v>
      </c>
      <c r="BV91" t="s">
        <v>42</v>
      </c>
      <c r="BW91" t="s">
        <v>60</v>
      </c>
      <c r="BX91" t="s">
        <v>6</v>
      </c>
      <c r="BY91" t="s">
        <v>55</v>
      </c>
      <c r="CC91" t="s">
        <v>272</v>
      </c>
      <c r="CD91" t="s">
        <v>273</v>
      </c>
      <c r="CE91" t="s">
        <v>27</v>
      </c>
      <c r="CF91" t="s">
        <v>139</v>
      </c>
      <c r="CG91" t="s">
        <v>6</v>
      </c>
      <c r="CH91" t="s">
        <v>88</v>
      </c>
      <c r="CI91" t="s">
        <v>27</v>
      </c>
      <c r="CJ91" t="s">
        <v>24</v>
      </c>
      <c r="CK91" t="s">
        <v>198</v>
      </c>
      <c r="CL91" t="s">
        <v>249</v>
      </c>
      <c r="CM91" t="s">
        <v>274</v>
      </c>
      <c r="CQ91" t="s">
        <v>205</v>
      </c>
      <c r="CR91" t="s">
        <v>206</v>
      </c>
      <c r="CS91" t="s">
        <v>207</v>
      </c>
      <c r="CT91" t="s">
        <v>27</v>
      </c>
      <c r="CU91" t="s">
        <v>149</v>
      </c>
      <c r="CV91" t="s">
        <v>208</v>
      </c>
      <c r="CW91" t="s">
        <v>159</v>
      </c>
      <c r="CX91" t="s">
        <v>209</v>
      </c>
      <c r="CY91" t="s">
        <v>182</v>
      </c>
      <c r="CZ91" t="s">
        <v>210</v>
      </c>
      <c r="DA91" t="s">
        <v>206</v>
      </c>
    </row>
    <row r="92" spans="1:119" x14ac:dyDescent="0.25">
      <c r="BA92" t="s">
        <v>41</v>
      </c>
      <c r="BB92" t="s">
        <v>13</v>
      </c>
      <c r="BC92" t="s">
        <v>42</v>
      </c>
      <c r="BD92" t="s">
        <v>43</v>
      </c>
      <c r="BE92" t="s">
        <v>6</v>
      </c>
      <c r="BF92" t="s">
        <v>44</v>
      </c>
      <c r="BG92" t="s">
        <v>27</v>
      </c>
      <c r="BH92" t="s">
        <v>29</v>
      </c>
      <c r="BI92" t="s">
        <v>39</v>
      </c>
      <c r="BJ92" t="s">
        <v>24</v>
      </c>
      <c r="BK92" t="s">
        <v>38</v>
      </c>
      <c r="CC92" t="s">
        <v>375</v>
      </c>
      <c r="CD92" t="s">
        <v>376</v>
      </c>
      <c r="CE92" t="s">
        <v>132</v>
      </c>
      <c r="CF92" t="s">
        <v>39</v>
      </c>
      <c r="CG92" t="s">
        <v>27</v>
      </c>
      <c r="CH92" t="s">
        <v>368</v>
      </c>
      <c r="CI92" t="s">
        <v>377</v>
      </c>
      <c r="CJ92" t="s">
        <v>188</v>
      </c>
      <c r="CK92" t="s">
        <v>378</v>
      </c>
      <c r="CL92" t="s">
        <v>379</v>
      </c>
      <c r="CM92" t="s">
        <v>250</v>
      </c>
      <c r="CQ92" t="s">
        <v>248</v>
      </c>
      <c r="CR92" t="s">
        <v>139</v>
      </c>
      <c r="CS92" t="s">
        <v>249</v>
      </c>
      <c r="CT92" t="s">
        <v>250</v>
      </c>
      <c r="CU92" t="s">
        <v>27</v>
      </c>
      <c r="CV92" t="s">
        <v>251</v>
      </c>
      <c r="CW92" t="s">
        <v>252</v>
      </c>
      <c r="CX92" t="s">
        <v>253</v>
      </c>
      <c r="CY92" t="s">
        <v>254</v>
      </c>
      <c r="CZ92" t="s">
        <v>255</v>
      </c>
      <c r="DA92" t="s">
        <v>79</v>
      </c>
      <c r="DE92" t="s">
        <v>493</v>
      </c>
    </row>
    <row r="93" spans="1:119" x14ac:dyDescent="0.25">
      <c r="BA93" t="s">
        <v>58</v>
      </c>
      <c r="BB93" t="s">
        <v>59</v>
      </c>
      <c r="BC93" t="s">
        <v>29</v>
      </c>
      <c r="BD93" t="s">
        <v>60</v>
      </c>
      <c r="BE93" t="s">
        <v>6</v>
      </c>
      <c r="BF93" t="s">
        <v>43</v>
      </c>
      <c r="BG93" t="s">
        <v>27</v>
      </c>
      <c r="BH93" t="s">
        <v>61</v>
      </c>
      <c r="BI93" t="s">
        <v>62</v>
      </c>
      <c r="BJ93" t="s">
        <v>63</v>
      </c>
      <c r="BK93" t="s">
        <v>64</v>
      </c>
      <c r="BO93" t="s">
        <v>429</v>
      </c>
      <c r="CQ93" t="s">
        <v>272</v>
      </c>
      <c r="CR93" t="s">
        <v>273</v>
      </c>
      <c r="CS93" t="s">
        <v>27</v>
      </c>
      <c r="CT93" t="s">
        <v>139</v>
      </c>
      <c r="CU93" t="s">
        <v>6</v>
      </c>
      <c r="CV93" t="s">
        <v>88</v>
      </c>
      <c r="CW93" t="s">
        <v>27</v>
      </c>
      <c r="CX93" t="s">
        <v>24</v>
      </c>
      <c r="CY93" t="s">
        <v>198</v>
      </c>
      <c r="CZ93" t="s">
        <v>249</v>
      </c>
      <c r="DA93" t="s">
        <v>274</v>
      </c>
      <c r="DE93" t="s">
        <v>137</v>
      </c>
      <c r="DF93" t="s">
        <v>138</v>
      </c>
      <c r="DG93" t="s">
        <v>139</v>
      </c>
      <c r="DH93" t="s">
        <v>140</v>
      </c>
      <c r="DI93" t="s">
        <v>121</v>
      </c>
      <c r="DJ93" t="s">
        <v>121</v>
      </c>
      <c r="DK93" t="s">
        <v>141</v>
      </c>
      <c r="DL93" t="s">
        <v>26</v>
      </c>
      <c r="DM93" t="s">
        <v>142</v>
      </c>
      <c r="DN93" t="s">
        <v>143</v>
      </c>
      <c r="DO93" t="s">
        <v>27</v>
      </c>
    </row>
    <row r="94" spans="1:119" x14ac:dyDescent="0.25">
      <c r="BA94" t="s">
        <v>259</v>
      </c>
      <c r="BB94" t="s">
        <v>6</v>
      </c>
      <c r="BC94" t="s">
        <v>258</v>
      </c>
      <c r="BD94" t="s">
        <v>88</v>
      </c>
      <c r="BE94" t="s">
        <v>260</v>
      </c>
      <c r="BF94" t="s">
        <v>258</v>
      </c>
      <c r="BG94" t="s">
        <v>74</v>
      </c>
      <c r="BH94" t="s">
        <v>27</v>
      </c>
      <c r="BI94" t="s">
        <v>261</v>
      </c>
      <c r="BJ94" t="s">
        <v>148</v>
      </c>
      <c r="BK94" t="s">
        <v>262</v>
      </c>
      <c r="BO94" t="s">
        <v>275</v>
      </c>
      <c r="BP94" t="s">
        <v>81</v>
      </c>
      <c r="BQ94" t="s">
        <v>42</v>
      </c>
      <c r="BR94" t="s">
        <v>20</v>
      </c>
      <c r="BS94" t="s">
        <v>32</v>
      </c>
      <c r="BT94" t="s">
        <v>121</v>
      </c>
      <c r="BU94" t="s">
        <v>276</v>
      </c>
      <c r="BV94" t="s">
        <v>277</v>
      </c>
      <c r="BW94" t="s">
        <v>6</v>
      </c>
      <c r="BX94" t="s">
        <v>245</v>
      </c>
      <c r="BY94" t="s">
        <v>37</v>
      </c>
      <c r="CQ94" t="s">
        <v>375</v>
      </c>
      <c r="CR94" t="s">
        <v>376</v>
      </c>
      <c r="CS94" t="s">
        <v>132</v>
      </c>
      <c r="CT94" t="s">
        <v>39</v>
      </c>
      <c r="CU94" t="s">
        <v>27</v>
      </c>
      <c r="CV94" t="s">
        <v>368</v>
      </c>
      <c r="CW94" t="s">
        <v>377</v>
      </c>
      <c r="CX94" t="s">
        <v>188</v>
      </c>
      <c r="CY94" t="s">
        <v>378</v>
      </c>
      <c r="CZ94" t="s">
        <v>379</v>
      </c>
      <c r="DA94" t="s">
        <v>250</v>
      </c>
    </row>
    <row r="95" spans="1:119" x14ac:dyDescent="0.25">
      <c r="BA95" t="s">
        <v>335</v>
      </c>
      <c r="BB95" t="s">
        <v>6</v>
      </c>
      <c r="BC95" t="s">
        <v>330</v>
      </c>
      <c r="BD95" t="s">
        <v>15</v>
      </c>
      <c r="BE95" t="s">
        <v>76</v>
      </c>
      <c r="BF95" t="s">
        <v>37</v>
      </c>
      <c r="BG95" t="s">
        <v>27</v>
      </c>
      <c r="BH95" t="s">
        <v>336</v>
      </c>
      <c r="BI95" t="s">
        <v>125</v>
      </c>
      <c r="BJ95" t="s">
        <v>337</v>
      </c>
      <c r="BK95" t="s">
        <v>276</v>
      </c>
      <c r="DE95" t="s">
        <v>492</v>
      </c>
    </row>
    <row r="96" spans="1:119" x14ac:dyDescent="0.25">
      <c r="BA96" t="s">
        <v>359</v>
      </c>
      <c r="BB96" t="s">
        <v>6</v>
      </c>
      <c r="BC96" t="s">
        <v>344</v>
      </c>
      <c r="BD96" t="s">
        <v>357</v>
      </c>
      <c r="BE96" t="s">
        <v>27</v>
      </c>
      <c r="BF96" t="s">
        <v>88</v>
      </c>
      <c r="BG96" t="s">
        <v>64</v>
      </c>
      <c r="BH96" t="s">
        <v>36</v>
      </c>
      <c r="BI96" t="s">
        <v>46</v>
      </c>
      <c r="BJ96" t="s">
        <v>360</v>
      </c>
      <c r="BK96" t="s">
        <v>60</v>
      </c>
      <c r="BO96" s="2" t="s">
        <v>431</v>
      </c>
      <c r="DE96" t="s">
        <v>235</v>
      </c>
      <c r="DF96" t="s">
        <v>1</v>
      </c>
      <c r="DG96" t="s">
        <v>132</v>
      </c>
      <c r="DH96" t="s">
        <v>52</v>
      </c>
      <c r="DI96" t="s">
        <v>236</v>
      </c>
      <c r="DJ96" t="s">
        <v>26</v>
      </c>
      <c r="DK96" t="s">
        <v>237</v>
      </c>
      <c r="DL96" t="s">
        <v>210</v>
      </c>
      <c r="DM96" t="s">
        <v>27</v>
      </c>
      <c r="DN96" t="s">
        <v>121</v>
      </c>
      <c r="DO96" t="s">
        <v>207</v>
      </c>
    </row>
    <row r="97" spans="67:119" x14ac:dyDescent="0.25">
      <c r="BO97" t="s">
        <v>238</v>
      </c>
      <c r="BP97" t="s">
        <v>239</v>
      </c>
      <c r="BQ97" t="s">
        <v>1</v>
      </c>
      <c r="BR97" t="s">
        <v>240</v>
      </c>
      <c r="BS97" t="s">
        <v>121</v>
      </c>
      <c r="BT97" t="s">
        <v>52</v>
      </c>
      <c r="BU97" t="s">
        <v>241</v>
      </c>
      <c r="BV97" t="s">
        <v>242</v>
      </c>
      <c r="BW97" t="s">
        <v>243</v>
      </c>
      <c r="BX97" t="s">
        <v>3</v>
      </c>
      <c r="BY97" t="s">
        <v>27</v>
      </c>
      <c r="CC97" s="3" t="s">
        <v>448</v>
      </c>
      <c r="DE97" t="s">
        <v>328</v>
      </c>
      <c r="DF97" t="s">
        <v>26</v>
      </c>
      <c r="DG97" t="s">
        <v>329</v>
      </c>
      <c r="DH97" t="s">
        <v>121</v>
      </c>
      <c r="DI97" t="s">
        <v>117</v>
      </c>
      <c r="DJ97" t="s">
        <v>27</v>
      </c>
      <c r="DK97" t="s">
        <v>183</v>
      </c>
      <c r="DL97" t="s">
        <v>330</v>
      </c>
      <c r="DM97" t="s">
        <v>4</v>
      </c>
      <c r="DN97" t="s">
        <v>327</v>
      </c>
      <c r="DO97" t="s">
        <v>194</v>
      </c>
    </row>
    <row r="98" spans="67:119" x14ac:dyDescent="0.25">
      <c r="BO98" t="s">
        <v>338</v>
      </c>
      <c r="BP98" t="s">
        <v>339</v>
      </c>
      <c r="BQ98" t="s">
        <v>121</v>
      </c>
      <c r="BR98" t="s">
        <v>340</v>
      </c>
      <c r="BS98" t="s">
        <v>341</v>
      </c>
      <c r="BT98" t="s">
        <v>96</v>
      </c>
      <c r="BU98" t="s">
        <v>330</v>
      </c>
      <c r="BV98" t="s">
        <v>27</v>
      </c>
      <c r="BW98" t="s">
        <v>291</v>
      </c>
      <c r="BX98" t="s">
        <v>149</v>
      </c>
      <c r="BY98" t="s">
        <v>277</v>
      </c>
      <c r="CC98" t="s">
        <v>129</v>
      </c>
      <c r="CD98" t="s">
        <v>26</v>
      </c>
      <c r="CE98" t="s">
        <v>130</v>
      </c>
      <c r="CF98" t="s">
        <v>131</v>
      </c>
      <c r="CG98" t="s">
        <v>27</v>
      </c>
      <c r="CH98" t="s">
        <v>132</v>
      </c>
      <c r="CI98" t="s">
        <v>133</v>
      </c>
      <c r="CJ98" t="s">
        <v>134</v>
      </c>
      <c r="CK98" t="s">
        <v>6</v>
      </c>
      <c r="CL98" t="s">
        <v>135</v>
      </c>
      <c r="CM98" t="s">
        <v>136</v>
      </c>
    </row>
    <row r="99" spans="67:119" x14ac:dyDescent="0.25">
      <c r="CC99" t="s">
        <v>342</v>
      </c>
      <c r="CD99" t="s">
        <v>29</v>
      </c>
      <c r="CE99" t="s">
        <v>24</v>
      </c>
      <c r="CF99" t="s">
        <v>6</v>
      </c>
      <c r="CG99" t="s">
        <v>26</v>
      </c>
      <c r="CH99" t="s">
        <v>64</v>
      </c>
      <c r="CI99" t="s">
        <v>292</v>
      </c>
      <c r="CJ99" t="s">
        <v>27</v>
      </c>
      <c r="CK99" t="s">
        <v>8</v>
      </c>
      <c r="CL99" t="s">
        <v>42</v>
      </c>
      <c r="CM99" t="s">
        <v>54</v>
      </c>
      <c r="CQ99" s="3" t="s">
        <v>469</v>
      </c>
      <c r="DE99" s="2" t="s">
        <v>494</v>
      </c>
    </row>
    <row r="100" spans="67:119" x14ac:dyDescent="0.25">
      <c r="BO100" s="3" t="s">
        <v>433</v>
      </c>
      <c r="CC100" t="s">
        <v>366</v>
      </c>
      <c r="CD100" t="s">
        <v>26</v>
      </c>
      <c r="CE100" t="s">
        <v>132</v>
      </c>
      <c r="CF100" t="s">
        <v>6</v>
      </c>
      <c r="CG100" t="s">
        <v>344</v>
      </c>
      <c r="CH100" t="s">
        <v>39</v>
      </c>
      <c r="CI100" t="s">
        <v>96</v>
      </c>
      <c r="CJ100" t="s">
        <v>130</v>
      </c>
      <c r="CK100" t="s">
        <v>27</v>
      </c>
      <c r="CL100" t="s">
        <v>42</v>
      </c>
      <c r="CM100" t="s">
        <v>197</v>
      </c>
      <c r="CQ100" t="s">
        <v>129</v>
      </c>
      <c r="CR100" t="s">
        <v>26</v>
      </c>
      <c r="CS100" t="s">
        <v>130</v>
      </c>
      <c r="CT100" t="s">
        <v>131</v>
      </c>
      <c r="CU100" t="s">
        <v>27</v>
      </c>
      <c r="CV100" t="s">
        <v>132</v>
      </c>
      <c r="CW100" t="s">
        <v>133</v>
      </c>
      <c r="CX100" t="s">
        <v>134</v>
      </c>
      <c r="CY100" t="s">
        <v>6</v>
      </c>
      <c r="CZ100" t="s">
        <v>135</v>
      </c>
      <c r="DA100" t="s">
        <v>136</v>
      </c>
      <c r="DE100" t="s">
        <v>50</v>
      </c>
      <c r="DF100" t="s">
        <v>46</v>
      </c>
      <c r="DG100" t="s">
        <v>51</v>
      </c>
      <c r="DH100" t="s">
        <v>52</v>
      </c>
      <c r="DI100" t="s">
        <v>53</v>
      </c>
      <c r="DJ100" t="s">
        <v>54</v>
      </c>
      <c r="DK100" t="s">
        <v>27</v>
      </c>
      <c r="DL100" t="s">
        <v>55</v>
      </c>
      <c r="DM100" t="s">
        <v>28</v>
      </c>
      <c r="DN100" t="s">
        <v>56</v>
      </c>
      <c r="DO100" t="s">
        <v>57</v>
      </c>
    </row>
    <row r="101" spans="67:119" x14ac:dyDescent="0.25">
      <c r="BO101" t="s">
        <v>363</v>
      </c>
      <c r="BP101" t="s">
        <v>364</v>
      </c>
      <c r="BQ101" t="s">
        <v>6</v>
      </c>
      <c r="BR101" t="s">
        <v>236</v>
      </c>
      <c r="BS101" t="s">
        <v>139</v>
      </c>
      <c r="BT101" t="s">
        <v>121</v>
      </c>
      <c r="BU101" t="s">
        <v>26</v>
      </c>
      <c r="BV101" t="s">
        <v>327</v>
      </c>
      <c r="BW101" t="s">
        <v>27</v>
      </c>
      <c r="BX101" t="s">
        <v>365</v>
      </c>
      <c r="BY101" t="s">
        <v>56</v>
      </c>
      <c r="CQ101" t="s">
        <v>342</v>
      </c>
      <c r="CR101" t="s">
        <v>29</v>
      </c>
      <c r="CS101" t="s">
        <v>24</v>
      </c>
      <c r="CT101" t="s">
        <v>6</v>
      </c>
      <c r="CU101" t="s">
        <v>26</v>
      </c>
      <c r="CV101" t="s">
        <v>64</v>
      </c>
      <c r="CW101" t="s">
        <v>292</v>
      </c>
      <c r="CX101" t="s">
        <v>27</v>
      </c>
      <c r="CY101" t="s">
        <v>8</v>
      </c>
      <c r="CZ101" t="s">
        <v>42</v>
      </c>
      <c r="DA101" t="s">
        <v>54</v>
      </c>
      <c r="DE101" t="s">
        <v>186</v>
      </c>
      <c r="DF101" t="s">
        <v>183</v>
      </c>
      <c r="DG101" t="s">
        <v>187</v>
      </c>
      <c r="DH101" t="s">
        <v>182</v>
      </c>
      <c r="DI101" t="s">
        <v>81</v>
      </c>
      <c r="DJ101" t="s">
        <v>24</v>
      </c>
      <c r="DK101" t="s">
        <v>27</v>
      </c>
      <c r="DL101" t="s">
        <v>163</v>
      </c>
      <c r="DM101" t="s">
        <v>36</v>
      </c>
      <c r="DN101" t="s">
        <v>188</v>
      </c>
      <c r="DO101" t="s">
        <v>21</v>
      </c>
    </row>
    <row r="102" spans="67:119" x14ac:dyDescent="0.25">
      <c r="CC102" t="s">
        <v>453</v>
      </c>
      <c r="CQ102" t="s">
        <v>366</v>
      </c>
      <c r="CR102" t="s">
        <v>26</v>
      </c>
      <c r="CS102" t="s">
        <v>132</v>
      </c>
      <c r="CT102" t="s">
        <v>6</v>
      </c>
      <c r="CU102" t="s">
        <v>344</v>
      </c>
      <c r="CV102" t="s">
        <v>39</v>
      </c>
      <c r="CW102" t="s">
        <v>96</v>
      </c>
      <c r="CX102" t="s">
        <v>130</v>
      </c>
      <c r="CY102" t="s">
        <v>27</v>
      </c>
      <c r="CZ102" t="s">
        <v>42</v>
      </c>
      <c r="DA102" t="s">
        <v>197</v>
      </c>
      <c r="DE102" t="s">
        <v>202</v>
      </c>
      <c r="DF102" t="s">
        <v>203</v>
      </c>
      <c r="DG102" t="s">
        <v>199</v>
      </c>
      <c r="DH102" t="s">
        <v>38</v>
      </c>
      <c r="DI102" t="s">
        <v>204</v>
      </c>
      <c r="DJ102" t="s">
        <v>132</v>
      </c>
      <c r="DK102" t="s">
        <v>203</v>
      </c>
      <c r="DL102" t="s">
        <v>24</v>
      </c>
      <c r="DM102" t="s">
        <v>28</v>
      </c>
      <c r="DN102" t="s">
        <v>194</v>
      </c>
      <c r="DO102" t="s">
        <v>27</v>
      </c>
    </row>
    <row r="103" spans="67:119" x14ac:dyDescent="0.25">
      <c r="BO103" t="s">
        <v>434</v>
      </c>
      <c r="CC103" t="s">
        <v>0</v>
      </c>
      <c r="CD103" t="s">
        <v>1</v>
      </c>
      <c r="CE103" t="s">
        <v>2</v>
      </c>
      <c r="CF103" t="s">
        <v>3</v>
      </c>
      <c r="CG103" t="s">
        <v>4</v>
      </c>
      <c r="CH103" t="s">
        <v>5</v>
      </c>
      <c r="CI103" t="s">
        <v>6</v>
      </c>
      <c r="CJ103" t="s">
        <v>7</v>
      </c>
      <c r="CK103" t="s">
        <v>8</v>
      </c>
      <c r="CL103" t="s">
        <v>9</v>
      </c>
      <c r="CM103" t="s">
        <v>10</v>
      </c>
      <c r="DE103" t="s">
        <v>205</v>
      </c>
      <c r="DF103" t="s">
        <v>206</v>
      </c>
      <c r="DG103" t="s">
        <v>207</v>
      </c>
      <c r="DH103" t="s">
        <v>27</v>
      </c>
      <c r="DI103" t="s">
        <v>149</v>
      </c>
      <c r="DJ103" t="s">
        <v>208</v>
      </c>
      <c r="DK103" t="s">
        <v>159</v>
      </c>
      <c r="DL103" t="s">
        <v>209</v>
      </c>
      <c r="DM103" t="s">
        <v>182</v>
      </c>
      <c r="DN103" t="s">
        <v>210</v>
      </c>
      <c r="DO103" t="s">
        <v>206</v>
      </c>
    </row>
    <row r="104" spans="67:119" x14ac:dyDescent="0.25">
      <c r="BO104" t="s">
        <v>41</v>
      </c>
      <c r="BP104" t="s">
        <v>13</v>
      </c>
      <c r="BQ104" t="s">
        <v>42</v>
      </c>
      <c r="BR104" t="s">
        <v>43</v>
      </c>
      <c r="BS104" t="s">
        <v>6</v>
      </c>
      <c r="BT104" t="s">
        <v>44</v>
      </c>
      <c r="BU104" t="s">
        <v>27</v>
      </c>
      <c r="BV104" t="s">
        <v>29</v>
      </c>
      <c r="BW104" t="s">
        <v>39</v>
      </c>
      <c r="BX104" t="s">
        <v>24</v>
      </c>
      <c r="BY104" t="s">
        <v>38</v>
      </c>
      <c r="CC104" t="s">
        <v>361</v>
      </c>
      <c r="CD104" t="s">
        <v>88</v>
      </c>
      <c r="CE104" t="s">
        <v>61</v>
      </c>
      <c r="CF104" t="s">
        <v>56</v>
      </c>
      <c r="CG104" t="s">
        <v>46</v>
      </c>
      <c r="CH104" t="s">
        <v>344</v>
      </c>
      <c r="CI104" t="s">
        <v>362</v>
      </c>
      <c r="CJ104" t="s">
        <v>42</v>
      </c>
      <c r="CK104" t="s">
        <v>60</v>
      </c>
      <c r="CL104" t="s">
        <v>6</v>
      </c>
      <c r="CM104" t="s">
        <v>55</v>
      </c>
      <c r="CQ104" t="s">
        <v>470</v>
      </c>
      <c r="DE104" t="s">
        <v>375</v>
      </c>
      <c r="DF104" t="s">
        <v>376</v>
      </c>
      <c r="DG104" t="s">
        <v>132</v>
      </c>
      <c r="DH104" t="s">
        <v>39</v>
      </c>
      <c r="DI104" t="s">
        <v>27</v>
      </c>
      <c r="DJ104" t="s">
        <v>368</v>
      </c>
      <c r="DK104" t="s">
        <v>377</v>
      </c>
      <c r="DL104" t="s">
        <v>188</v>
      </c>
      <c r="DM104" t="s">
        <v>378</v>
      </c>
      <c r="DN104" t="s">
        <v>379</v>
      </c>
      <c r="DO104" t="s">
        <v>250</v>
      </c>
    </row>
    <row r="105" spans="67:119" x14ac:dyDescent="0.25">
      <c r="BO105" t="s">
        <v>58</v>
      </c>
      <c r="BP105" t="s">
        <v>59</v>
      </c>
      <c r="BQ105" t="s">
        <v>29</v>
      </c>
      <c r="BR105" t="s">
        <v>60</v>
      </c>
      <c r="BS105" t="s">
        <v>6</v>
      </c>
      <c r="BT105" t="s">
        <v>43</v>
      </c>
      <c r="BU105" t="s">
        <v>27</v>
      </c>
      <c r="BV105" t="s">
        <v>61</v>
      </c>
      <c r="BW105" t="s">
        <v>62</v>
      </c>
      <c r="BX105" t="s">
        <v>63</v>
      </c>
      <c r="BY105" t="s">
        <v>64</v>
      </c>
      <c r="CQ105" t="s">
        <v>0</v>
      </c>
      <c r="CR105" t="s">
        <v>1</v>
      </c>
      <c r="CS105" t="s">
        <v>2</v>
      </c>
      <c r="CT105" t="s">
        <v>3</v>
      </c>
      <c r="CU105" t="s">
        <v>4</v>
      </c>
      <c r="CV105" t="s">
        <v>5</v>
      </c>
      <c r="CW105" t="s">
        <v>6</v>
      </c>
      <c r="CX105" t="s">
        <v>7</v>
      </c>
      <c r="CY105" t="s">
        <v>8</v>
      </c>
      <c r="CZ105" t="s">
        <v>9</v>
      </c>
      <c r="DA105" t="s">
        <v>10</v>
      </c>
    </row>
    <row r="106" spans="67:119" x14ac:dyDescent="0.25">
      <c r="BO106" t="s">
        <v>259</v>
      </c>
      <c r="BP106" t="s">
        <v>6</v>
      </c>
      <c r="BQ106" t="s">
        <v>258</v>
      </c>
      <c r="BR106" t="s">
        <v>88</v>
      </c>
      <c r="BS106" t="s">
        <v>260</v>
      </c>
      <c r="BT106" t="s">
        <v>258</v>
      </c>
      <c r="BU106" t="s">
        <v>74</v>
      </c>
      <c r="BV106" t="s">
        <v>27</v>
      </c>
      <c r="BW106" t="s">
        <v>261</v>
      </c>
      <c r="BX106" t="s">
        <v>148</v>
      </c>
      <c r="BY106" t="s">
        <v>262</v>
      </c>
      <c r="CC106" t="s">
        <v>452</v>
      </c>
      <c r="CQ106" t="s">
        <v>361</v>
      </c>
      <c r="CR106" t="s">
        <v>88</v>
      </c>
      <c r="CS106" t="s">
        <v>61</v>
      </c>
      <c r="CT106" t="s">
        <v>56</v>
      </c>
      <c r="CU106" t="s">
        <v>46</v>
      </c>
      <c r="CV106" t="s">
        <v>344</v>
      </c>
      <c r="CW106" t="s">
        <v>362</v>
      </c>
      <c r="CX106" t="s">
        <v>42</v>
      </c>
      <c r="CY106" t="s">
        <v>60</v>
      </c>
      <c r="CZ106" t="s">
        <v>6</v>
      </c>
      <c r="DA106" t="s">
        <v>55</v>
      </c>
      <c r="DE106" s="2" t="s">
        <v>495</v>
      </c>
    </row>
    <row r="107" spans="67:119" x14ac:dyDescent="0.25">
      <c r="BO107" t="s">
        <v>335</v>
      </c>
      <c r="BP107" t="s">
        <v>6</v>
      </c>
      <c r="BQ107" t="s">
        <v>330</v>
      </c>
      <c r="BR107" t="s">
        <v>15</v>
      </c>
      <c r="BS107" t="s">
        <v>76</v>
      </c>
      <c r="BT107" t="s">
        <v>37</v>
      </c>
      <c r="BU107" t="s">
        <v>27</v>
      </c>
      <c r="BV107" t="s">
        <v>336</v>
      </c>
      <c r="BW107" t="s">
        <v>125</v>
      </c>
      <c r="BX107" t="s">
        <v>337</v>
      </c>
      <c r="BY107" t="s">
        <v>276</v>
      </c>
      <c r="CC107" t="s">
        <v>275</v>
      </c>
      <c r="CD107" t="s">
        <v>81</v>
      </c>
      <c r="CE107" t="s">
        <v>42</v>
      </c>
      <c r="CF107" t="s">
        <v>20</v>
      </c>
      <c r="CG107" t="s">
        <v>32</v>
      </c>
      <c r="CH107" t="s">
        <v>121</v>
      </c>
      <c r="CI107" t="s">
        <v>276</v>
      </c>
      <c r="CJ107" t="s">
        <v>277</v>
      </c>
      <c r="CK107" t="s">
        <v>6</v>
      </c>
      <c r="CL107" t="s">
        <v>245</v>
      </c>
      <c r="CM107" t="s">
        <v>37</v>
      </c>
      <c r="DE107" t="s">
        <v>248</v>
      </c>
      <c r="DF107" t="s">
        <v>139</v>
      </c>
      <c r="DG107" t="s">
        <v>249</v>
      </c>
      <c r="DH107" t="s">
        <v>250</v>
      </c>
      <c r="DI107" t="s">
        <v>27</v>
      </c>
      <c r="DJ107" t="s">
        <v>251</v>
      </c>
      <c r="DK107" t="s">
        <v>252</v>
      </c>
      <c r="DL107" t="s">
        <v>253</v>
      </c>
      <c r="DM107" t="s">
        <v>254</v>
      </c>
      <c r="DN107" t="s">
        <v>255</v>
      </c>
      <c r="DO107" t="s">
        <v>79</v>
      </c>
    </row>
    <row r="108" spans="67:119" x14ac:dyDescent="0.25">
      <c r="BO108" t="s">
        <v>359</v>
      </c>
      <c r="BP108" t="s">
        <v>6</v>
      </c>
      <c r="BQ108" t="s">
        <v>344</v>
      </c>
      <c r="BR108" t="s">
        <v>357</v>
      </c>
      <c r="BS108" t="s">
        <v>27</v>
      </c>
      <c r="BT108" t="s">
        <v>88</v>
      </c>
      <c r="BU108" t="s">
        <v>64</v>
      </c>
      <c r="BV108" t="s">
        <v>36</v>
      </c>
      <c r="BW108" t="s">
        <v>46</v>
      </c>
      <c r="BX108" t="s">
        <v>360</v>
      </c>
      <c r="BY108" t="s">
        <v>60</v>
      </c>
      <c r="CQ108" t="s">
        <v>471</v>
      </c>
      <c r="DE108" t="s">
        <v>272</v>
      </c>
      <c r="DF108" t="s">
        <v>273</v>
      </c>
      <c r="DG108" t="s">
        <v>27</v>
      </c>
      <c r="DH108" t="s">
        <v>139</v>
      </c>
      <c r="DI108" t="s">
        <v>6</v>
      </c>
      <c r="DJ108" t="s">
        <v>88</v>
      </c>
      <c r="DK108" t="s">
        <v>27</v>
      </c>
      <c r="DL108" t="s">
        <v>24</v>
      </c>
      <c r="DM108" t="s">
        <v>198</v>
      </c>
      <c r="DN108" t="s">
        <v>249</v>
      </c>
      <c r="DO108" t="s">
        <v>274</v>
      </c>
    </row>
    <row r="109" spans="67:119" x14ac:dyDescent="0.25">
      <c r="CC109" s="2" t="s">
        <v>451</v>
      </c>
      <c r="CQ109" t="s">
        <v>275</v>
      </c>
      <c r="CR109" t="s">
        <v>81</v>
      </c>
      <c r="CS109" t="s">
        <v>42</v>
      </c>
      <c r="CT109" t="s">
        <v>20</v>
      </c>
      <c r="CU109" t="s">
        <v>32</v>
      </c>
      <c r="CV109" t="s">
        <v>121</v>
      </c>
      <c r="CW109" t="s">
        <v>276</v>
      </c>
      <c r="CX109" t="s">
        <v>277</v>
      </c>
      <c r="CY109" t="s">
        <v>6</v>
      </c>
      <c r="CZ109" t="s">
        <v>245</v>
      </c>
      <c r="DA109" t="s">
        <v>37</v>
      </c>
    </row>
    <row r="110" spans="67:119" x14ac:dyDescent="0.25">
      <c r="CC110" t="s">
        <v>238</v>
      </c>
      <c r="CD110" t="s">
        <v>239</v>
      </c>
      <c r="CE110" t="s">
        <v>1</v>
      </c>
      <c r="CF110" t="s">
        <v>240</v>
      </c>
      <c r="CG110" t="s">
        <v>121</v>
      </c>
      <c r="CH110" t="s">
        <v>52</v>
      </c>
      <c r="CI110" t="s">
        <v>241</v>
      </c>
      <c r="CJ110" t="s">
        <v>242</v>
      </c>
      <c r="CK110" t="s">
        <v>243</v>
      </c>
      <c r="CL110" t="s">
        <v>3</v>
      </c>
      <c r="CM110" t="s">
        <v>27</v>
      </c>
      <c r="DE110" s="3" t="s">
        <v>469</v>
      </c>
    </row>
    <row r="111" spans="67:119" x14ac:dyDescent="0.25">
      <c r="CC111" t="s">
        <v>338</v>
      </c>
      <c r="CD111" t="s">
        <v>339</v>
      </c>
      <c r="CE111" t="s">
        <v>121</v>
      </c>
      <c r="CF111" t="s">
        <v>340</v>
      </c>
      <c r="CG111" t="s">
        <v>341</v>
      </c>
      <c r="CH111" t="s">
        <v>96</v>
      </c>
      <c r="CI111" t="s">
        <v>330</v>
      </c>
      <c r="CJ111" t="s">
        <v>27</v>
      </c>
      <c r="CK111" t="s">
        <v>291</v>
      </c>
      <c r="CL111" t="s">
        <v>149</v>
      </c>
      <c r="CM111" t="s">
        <v>277</v>
      </c>
      <c r="CQ111" s="2" t="s">
        <v>472</v>
      </c>
      <c r="DE111" t="s">
        <v>129</v>
      </c>
      <c r="DF111" t="s">
        <v>26</v>
      </c>
      <c r="DG111" t="s">
        <v>130</v>
      </c>
      <c r="DH111" t="s">
        <v>131</v>
      </c>
      <c r="DI111" t="s">
        <v>27</v>
      </c>
      <c r="DJ111" t="s">
        <v>132</v>
      </c>
      <c r="DK111" t="s">
        <v>133</v>
      </c>
      <c r="DL111" t="s">
        <v>134</v>
      </c>
      <c r="DM111" t="s">
        <v>6</v>
      </c>
      <c r="DN111" t="s">
        <v>135</v>
      </c>
      <c r="DO111" t="s">
        <v>136</v>
      </c>
    </row>
    <row r="112" spans="67:119" x14ac:dyDescent="0.25">
      <c r="CQ112" t="s">
        <v>238</v>
      </c>
      <c r="CR112" t="s">
        <v>239</v>
      </c>
      <c r="CS112" t="s">
        <v>1</v>
      </c>
      <c r="CT112" t="s">
        <v>240</v>
      </c>
      <c r="CU112" t="s">
        <v>121</v>
      </c>
      <c r="CV112" t="s">
        <v>52</v>
      </c>
      <c r="CW112" t="s">
        <v>241</v>
      </c>
      <c r="CX112" t="s">
        <v>242</v>
      </c>
      <c r="CY112" t="s">
        <v>243</v>
      </c>
      <c r="CZ112" t="s">
        <v>3</v>
      </c>
      <c r="DA112" t="s">
        <v>27</v>
      </c>
      <c r="DE112" t="s">
        <v>342</v>
      </c>
      <c r="DF112" t="s">
        <v>29</v>
      </c>
      <c r="DG112" t="s">
        <v>24</v>
      </c>
      <c r="DH112" t="s">
        <v>6</v>
      </c>
      <c r="DI112" t="s">
        <v>26</v>
      </c>
      <c r="DJ112" t="s">
        <v>64</v>
      </c>
      <c r="DK112" t="s">
        <v>292</v>
      </c>
      <c r="DL112" t="s">
        <v>27</v>
      </c>
      <c r="DM112" t="s">
        <v>8</v>
      </c>
      <c r="DN112" t="s">
        <v>42</v>
      </c>
      <c r="DO112" t="s">
        <v>54</v>
      </c>
    </row>
    <row r="113" spans="81:119" x14ac:dyDescent="0.25">
      <c r="CC113" s="3" t="s">
        <v>450</v>
      </c>
      <c r="CQ113" t="s">
        <v>338</v>
      </c>
      <c r="CR113" t="s">
        <v>339</v>
      </c>
      <c r="CS113" t="s">
        <v>121</v>
      </c>
      <c r="CT113" t="s">
        <v>340</v>
      </c>
      <c r="CU113" t="s">
        <v>341</v>
      </c>
      <c r="CV113" t="s">
        <v>96</v>
      </c>
      <c r="CW113" t="s">
        <v>330</v>
      </c>
      <c r="CX113" t="s">
        <v>27</v>
      </c>
      <c r="CY113" t="s">
        <v>291</v>
      </c>
      <c r="CZ113" t="s">
        <v>149</v>
      </c>
      <c r="DA113" t="s">
        <v>277</v>
      </c>
      <c r="DE113" t="s">
        <v>366</v>
      </c>
      <c r="DF113" t="s">
        <v>26</v>
      </c>
      <c r="DG113" t="s">
        <v>132</v>
      </c>
      <c r="DH113" t="s">
        <v>6</v>
      </c>
      <c r="DI113" t="s">
        <v>344</v>
      </c>
      <c r="DJ113" t="s">
        <v>39</v>
      </c>
      <c r="DK113" t="s">
        <v>96</v>
      </c>
      <c r="DL113" t="s">
        <v>130</v>
      </c>
      <c r="DM113" t="s">
        <v>27</v>
      </c>
      <c r="DN113" t="s">
        <v>42</v>
      </c>
      <c r="DO113" t="s">
        <v>197</v>
      </c>
    </row>
    <row r="114" spans="81:119" x14ac:dyDescent="0.25">
      <c r="CC114" t="s">
        <v>363</v>
      </c>
      <c r="CD114" t="s">
        <v>364</v>
      </c>
      <c r="CE114" t="s">
        <v>6</v>
      </c>
      <c r="CF114" t="s">
        <v>236</v>
      </c>
      <c r="CG114" t="s">
        <v>139</v>
      </c>
      <c r="CH114" t="s">
        <v>121</v>
      </c>
      <c r="CI114" t="s">
        <v>26</v>
      </c>
      <c r="CJ114" t="s">
        <v>327</v>
      </c>
      <c r="CK114" t="s">
        <v>27</v>
      </c>
      <c r="CL114" t="s">
        <v>365</v>
      </c>
      <c r="CM114" t="s">
        <v>56</v>
      </c>
    </row>
    <row r="115" spans="81:119" x14ac:dyDescent="0.25">
      <c r="CQ115" s="3" t="s">
        <v>473</v>
      </c>
      <c r="DE115" t="s">
        <v>496</v>
      </c>
    </row>
    <row r="116" spans="81:119" x14ac:dyDescent="0.25">
      <c r="CC116" t="s">
        <v>449</v>
      </c>
      <c r="CQ116" t="s">
        <v>363</v>
      </c>
      <c r="CR116" t="s">
        <v>364</v>
      </c>
      <c r="CS116" t="s">
        <v>6</v>
      </c>
      <c r="CT116" t="s">
        <v>236</v>
      </c>
      <c r="CU116" t="s">
        <v>139</v>
      </c>
      <c r="CV116" t="s">
        <v>121</v>
      </c>
      <c r="CW116" t="s">
        <v>26</v>
      </c>
      <c r="CX116" t="s">
        <v>327</v>
      </c>
      <c r="CY116" t="s">
        <v>27</v>
      </c>
      <c r="CZ116" t="s">
        <v>365</v>
      </c>
      <c r="DA116" t="s">
        <v>56</v>
      </c>
      <c r="DE116" t="s">
        <v>0</v>
      </c>
      <c r="DF116" t="s">
        <v>1</v>
      </c>
      <c r="DG116" t="s">
        <v>2</v>
      </c>
      <c r="DH116" t="s">
        <v>3</v>
      </c>
      <c r="DI116" t="s">
        <v>4</v>
      </c>
      <c r="DJ116" t="s">
        <v>5</v>
      </c>
      <c r="DK116" t="s">
        <v>6</v>
      </c>
      <c r="DL116" t="s">
        <v>7</v>
      </c>
      <c r="DM116" t="s">
        <v>8</v>
      </c>
      <c r="DN116" t="s">
        <v>9</v>
      </c>
      <c r="DO116" t="s">
        <v>10</v>
      </c>
    </row>
    <row r="117" spans="81:119" x14ac:dyDescent="0.25">
      <c r="CC117" t="s">
        <v>41</v>
      </c>
      <c r="CD117" t="s">
        <v>13</v>
      </c>
      <c r="CE117" t="s">
        <v>42</v>
      </c>
      <c r="CF117" t="s">
        <v>43</v>
      </c>
      <c r="CG117" t="s">
        <v>6</v>
      </c>
      <c r="CH117" t="s">
        <v>44</v>
      </c>
      <c r="CI117" t="s">
        <v>27</v>
      </c>
      <c r="CJ117" t="s">
        <v>29</v>
      </c>
      <c r="CK117" t="s">
        <v>39</v>
      </c>
      <c r="CL117" t="s">
        <v>24</v>
      </c>
      <c r="CM117" t="s">
        <v>38</v>
      </c>
      <c r="DE117" t="s">
        <v>361</v>
      </c>
      <c r="DF117" t="s">
        <v>88</v>
      </c>
      <c r="DG117" t="s">
        <v>61</v>
      </c>
      <c r="DH117" t="s">
        <v>56</v>
      </c>
      <c r="DI117" t="s">
        <v>46</v>
      </c>
      <c r="DJ117" t="s">
        <v>344</v>
      </c>
      <c r="DK117" t="s">
        <v>362</v>
      </c>
      <c r="DL117" t="s">
        <v>42</v>
      </c>
      <c r="DM117" t="s">
        <v>60</v>
      </c>
      <c r="DN117" t="s">
        <v>6</v>
      </c>
      <c r="DO117" t="s">
        <v>55</v>
      </c>
    </row>
    <row r="118" spans="81:119" x14ac:dyDescent="0.25">
      <c r="CC118" t="s">
        <v>259</v>
      </c>
      <c r="CD118" t="s">
        <v>6</v>
      </c>
      <c r="CE118" t="s">
        <v>258</v>
      </c>
      <c r="CF118" t="s">
        <v>88</v>
      </c>
      <c r="CG118" t="s">
        <v>260</v>
      </c>
      <c r="CH118" t="s">
        <v>258</v>
      </c>
      <c r="CI118" t="s">
        <v>74</v>
      </c>
      <c r="CJ118" t="s">
        <v>27</v>
      </c>
      <c r="CK118" t="s">
        <v>261</v>
      </c>
      <c r="CL118" t="s">
        <v>148</v>
      </c>
      <c r="CM118" t="s">
        <v>262</v>
      </c>
      <c r="CQ118" t="s">
        <v>474</v>
      </c>
    </row>
    <row r="119" spans="81:119" x14ac:dyDescent="0.25">
      <c r="CC119" t="s">
        <v>335</v>
      </c>
      <c r="CD119" t="s">
        <v>6</v>
      </c>
      <c r="CE119" t="s">
        <v>330</v>
      </c>
      <c r="CF119" t="s">
        <v>15</v>
      </c>
      <c r="CG119" t="s">
        <v>76</v>
      </c>
      <c r="CH119" t="s">
        <v>37</v>
      </c>
      <c r="CI119" t="s">
        <v>27</v>
      </c>
      <c r="CJ119" t="s">
        <v>336</v>
      </c>
      <c r="CK119" t="s">
        <v>125</v>
      </c>
      <c r="CL119" t="s">
        <v>337</v>
      </c>
      <c r="CM119" t="s">
        <v>276</v>
      </c>
      <c r="CQ119" t="s">
        <v>41</v>
      </c>
      <c r="CR119" t="s">
        <v>13</v>
      </c>
      <c r="CS119" t="s">
        <v>42</v>
      </c>
      <c r="CT119" t="s">
        <v>43</v>
      </c>
      <c r="CU119" t="s">
        <v>6</v>
      </c>
      <c r="CV119" t="s">
        <v>44</v>
      </c>
      <c r="CW119" t="s">
        <v>27</v>
      </c>
      <c r="CX119" t="s">
        <v>29</v>
      </c>
      <c r="CY119" t="s">
        <v>39</v>
      </c>
      <c r="CZ119" t="s">
        <v>24</v>
      </c>
      <c r="DA119" t="s">
        <v>38</v>
      </c>
      <c r="DE119" t="s">
        <v>497</v>
      </c>
    </row>
    <row r="120" spans="81:119" x14ac:dyDescent="0.25">
      <c r="CC120" t="s">
        <v>359</v>
      </c>
      <c r="CD120" t="s">
        <v>6</v>
      </c>
      <c r="CE120" t="s">
        <v>344</v>
      </c>
      <c r="CF120" t="s">
        <v>357</v>
      </c>
      <c r="CG120" t="s">
        <v>27</v>
      </c>
      <c r="CH120" t="s">
        <v>88</v>
      </c>
      <c r="CI120" t="s">
        <v>64</v>
      </c>
      <c r="CJ120" t="s">
        <v>36</v>
      </c>
      <c r="CK120" t="s">
        <v>46</v>
      </c>
      <c r="CL120" t="s">
        <v>360</v>
      </c>
      <c r="CM120" t="s">
        <v>60</v>
      </c>
      <c r="CQ120" t="s">
        <v>259</v>
      </c>
      <c r="CR120" t="s">
        <v>6</v>
      </c>
      <c r="CS120" t="s">
        <v>258</v>
      </c>
      <c r="CT120" t="s">
        <v>88</v>
      </c>
      <c r="CU120" t="s">
        <v>260</v>
      </c>
      <c r="CV120" t="s">
        <v>258</v>
      </c>
      <c r="CW120" t="s">
        <v>74</v>
      </c>
      <c r="CX120" t="s">
        <v>27</v>
      </c>
      <c r="CY120" t="s">
        <v>261</v>
      </c>
      <c r="CZ120" t="s">
        <v>148</v>
      </c>
      <c r="DA120" t="s">
        <v>262</v>
      </c>
      <c r="DE120" t="s">
        <v>275</v>
      </c>
      <c r="DF120" t="s">
        <v>81</v>
      </c>
      <c r="DG120" t="s">
        <v>42</v>
      </c>
      <c r="DH120" t="s">
        <v>20</v>
      </c>
      <c r="DI120" t="s">
        <v>32</v>
      </c>
      <c r="DJ120" t="s">
        <v>121</v>
      </c>
      <c r="DK120" t="s">
        <v>276</v>
      </c>
      <c r="DL120" t="s">
        <v>277</v>
      </c>
      <c r="DM120" t="s">
        <v>6</v>
      </c>
      <c r="DN120" t="s">
        <v>245</v>
      </c>
      <c r="DO120" t="s">
        <v>37</v>
      </c>
    </row>
    <row r="121" spans="81:119" x14ac:dyDescent="0.25">
      <c r="CQ121" t="s">
        <v>335</v>
      </c>
      <c r="CR121" t="s">
        <v>6</v>
      </c>
      <c r="CS121" t="s">
        <v>330</v>
      </c>
      <c r="CT121" t="s">
        <v>15</v>
      </c>
      <c r="CU121" t="s">
        <v>76</v>
      </c>
      <c r="CV121" t="s">
        <v>37</v>
      </c>
      <c r="CW121" t="s">
        <v>27</v>
      </c>
      <c r="CX121" t="s">
        <v>336</v>
      </c>
      <c r="CY121" t="s">
        <v>125</v>
      </c>
      <c r="CZ121" t="s">
        <v>337</v>
      </c>
      <c r="DA121" t="s">
        <v>276</v>
      </c>
    </row>
    <row r="122" spans="81:119" x14ac:dyDescent="0.25">
      <c r="CC122" t="s">
        <v>454</v>
      </c>
      <c r="CQ122" t="s">
        <v>359</v>
      </c>
      <c r="CR122" t="s">
        <v>6</v>
      </c>
      <c r="CS122" t="s">
        <v>344</v>
      </c>
      <c r="CT122" t="s">
        <v>357</v>
      </c>
      <c r="CU122" t="s">
        <v>27</v>
      </c>
      <c r="CV122" t="s">
        <v>88</v>
      </c>
      <c r="CW122" t="s">
        <v>64</v>
      </c>
      <c r="CX122" t="s">
        <v>36</v>
      </c>
      <c r="CY122" t="s">
        <v>46</v>
      </c>
      <c r="CZ122" t="s">
        <v>360</v>
      </c>
      <c r="DA122" t="s">
        <v>60</v>
      </c>
      <c r="DE122" s="2" t="s">
        <v>498</v>
      </c>
    </row>
    <row r="123" spans="81:119" x14ac:dyDescent="0.25">
      <c r="CC123" t="s">
        <v>58</v>
      </c>
      <c r="CD123" t="s">
        <v>59</v>
      </c>
      <c r="CE123" t="s">
        <v>29</v>
      </c>
      <c r="CF123" t="s">
        <v>60</v>
      </c>
      <c r="CG123" t="s">
        <v>6</v>
      </c>
      <c r="CH123" t="s">
        <v>43</v>
      </c>
      <c r="CI123" t="s">
        <v>27</v>
      </c>
      <c r="CJ123" t="s">
        <v>61</v>
      </c>
      <c r="CK123" t="s">
        <v>62</v>
      </c>
      <c r="CL123" t="s">
        <v>63</v>
      </c>
      <c r="CM123" t="s">
        <v>64</v>
      </c>
      <c r="DE123" t="s">
        <v>238</v>
      </c>
      <c r="DF123" t="s">
        <v>239</v>
      </c>
      <c r="DG123" t="s">
        <v>1</v>
      </c>
      <c r="DH123" t="s">
        <v>240</v>
      </c>
      <c r="DI123" t="s">
        <v>121</v>
      </c>
      <c r="DJ123" t="s">
        <v>52</v>
      </c>
      <c r="DK123" t="s">
        <v>241</v>
      </c>
      <c r="DL123" t="s">
        <v>242</v>
      </c>
      <c r="DM123" t="s">
        <v>243</v>
      </c>
      <c r="DN123" t="s">
        <v>3</v>
      </c>
      <c r="DO123" t="s">
        <v>27</v>
      </c>
    </row>
    <row r="124" spans="81:119" x14ac:dyDescent="0.25">
      <c r="CQ124" t="s">
        <v>475</v>
      </c>
      <c r="DE124" t="s">
        <v>338</v>
      </c>
      <c r="DF124" t="s">
        <v>339</v>
      </c>
      <c r="DG124" t="s">
        <v>121</v>
      </c>
      <c r="DH124" t="s">
        <v>340</v>
      </c>
      <c r="DI124" t="s">
        <v>341</v>
      </c>
      <c r="DJ124" t="s">
        <v>96</v>
      </c>
      <c r="DK124" t="s">
        <v>330</v>
      </c>
      <c r="DL124" t="s">
        <v>27</v>
      </c>
      <c r="DM124" t="s">
        <v>291</v>
      </c>
      <c r="DN124" t="s">
        <v>149</v>
      </c>
      <c r="DO124" t="s">
        <v>277</v>
      </c>
    </row>
    <row r="125" spans="81:119" x14ac:dyDescent="0.25">
      <c r="CQ125" t="s">
        <v>58</v>
      </c>
      <c r="CR125" t="s">
        <v>59</v>
      </c>
      <c r="CS125" t="s">
        <v>29</v>
      </c>
      <c r="CT125" t="s">
        <v>60</v>
      </c>
      <c r="CU125" t="s">
        <v>6</v>
      </c>
      <c r="CV125" t="s">
        <v>43</v>
      </c>
      <c r="CW125" t="s">
        <v>27</v>
      </c>
      <c r="CX125" t="s">
        <v>61</v>
      </c>
      <c r="CY125" t="s">
        <v>62</v>
      </c>
      <c r="CZ125" t="s">
        <v>63</v>
      </c>
      <c r="DA125" t="s">
        <v>64</v>
      </c>
    </row>
    <row r="126" spans="81:119" x14ac:dyDescent="0.25">
      <c r="DE126" s="3" t="s">
        <v>499</v>
      </c>
    </row>
    <row r="127" spans="81:119" x14ac:dyDescent="0.25">
      <c r="DE127" t="s">
        <v>363</v>
      </c>
      <c r="DF127" t="s">
        <v>364</v>
      </c>
      <c r="DG127" t="s">
        <v>6</v>
      </c>
      <c r="DH127" t="s">
        <v>236</v>
      </c>
      <c r="DI127" t="s">
        <v>139</v>
      </c>
      <c r="DJ127" t="s">
        <v>121</v>
      </c>
      <c r="DK127" t="s">
        <v>26</v>
      </c>
      <c r="DL127" t="s">
        <v>327</v>
      </c>
      <c r="DM127" t="s">
        <v>27</v>
      </c>
      <c r="DN127" t="s">
        <v>365</v>
      </c>
      <c r="DO127" t="s">
        <v>56</v>
      </c>
    </row>
    <row r="129" spans="109:119" x14ac:dyDescent="0.25">
      <c r="DE129" t="s">
        <v>500</v>
      </c>
    </row>
    <row r="130" spans="109:119" x14ac:dyDescent="0.25">
      <c r="DE130" t="s">
        <v>41</v>
      </c>
      <c r="DF130" t="s">
        <v>13</v>
      </c>
      <c r="DG130" t="s">
        <v>42</v>
      </c>
      <c r="DH130" t="s">
        <v>43</v>
      </c>
      <c r="DI130" t="s">
        <v>6</v>
      </c>
      <c r="DJ130" t="s">
        <v>44</v>
      </c>
      <c r="DK130" t="s">
        <v>27</v>
      </c>
      <c r="DL130" t="s">
        <v>29</v>
      </c>
      <c r="DM130" t="s">
        <v>39</v>
      </c>
      <c r="DN130" t="s">
        <v>24</v>
      </c>
      <c r="DO130" t="s">
        <v>38</v>
      </c>
    </row>
    <row r="131" spans="109:119" x14ac:dyDescent="0.25">
      <c r="DE131" t="s">
        <v>259</v>
      </c>
      <c r="DF131" t="s">
        <v>6</v>
      </c>
      <c r="DG131" t="s">
        <v>258</v>
      </c>
      <c r="DH131" t="s">
        <v>88</v>
      </c>
      <c r="DI131" t="s">
        <v>260</v>
      </c>
      <c r="DJ131" t="s">
        <v>258</v>
      </c>
      <c r="DK131" t="s">
        <v>74</v>
      </c>
      <c r="DL131" t="s">
        <v>27</v>
      </c>
      <c r="DM131" t="s">
        <v>261</v>
      </c>
      <c r="DN131" t="s">
        <v>148</v>
      </c>
      <c r="DO131" t="s">
        <v>262</v>
      </c>
    </row>
    <row r="132" spans="109:119" x14ac:dyDescent="0.25">
      <c r="DE132" t="s">
        <v>335</v>
      </c>
      <c r="DF132" t="s">
        <v>6</v>
      </c>
      <c r="DG132" t="s">
        <v>330</v>
      </c>
      <c r="DH132" t="s">
        <v>15</v>
      </c>
      <c r="DI132" t="s">
        <v>76</v>
      </c>
      <c r="DJ132" t="s">
        <v>37</v>
      </c>
      <c r="DK132" t="s">
        <v>27</v>
      </c>
      <c r="DL132" t="s">
        <v>336</v>
      </c>
      <c r="DM132" t="s">
        <v>125</v>
      </c>
      <c r="DN132" t="s">
        <v>337</v>
      </c>
      <c r="DO132" t="s">
        <v>276</v>
      </c>
    </row>
    <row r="133" spans="109:119" x14ac:dyDescent="0.25">
      <c r="DE133" t="s">
        <v>359</v>
      </c>
      <c r="DF133" t="s">
        <v>6</v>
      </c>
      <c r="DG133" t="s">
        <v>344</v>
      </c>
      <c r="DH133" t="s">
        <v>357</v>
      </c>
      <c r="DI133" t="s">
        <v>27</v>
      </c>
      <c r="DJ133" t="s">
        <v>88</v>
      </c>
      <c r="DK133" t="s">
        <v>64</v>
      </c>
      <c r="DL133" t="s">
        <v>36</v>
      </c>
      <c r="DM133" t="s">
        <v>46</v>
      </c>
      <c r="DN133" t="s">
        <v>360</v>
      </c>
      <c r="DO133" t="s">
        <v>60</v>
      </c>
    </row>
    <row r="135" spans="109:119" x14ac:dyDescent="0.25">
      <c r="DE135" t="s">
        <v>501</v>
      </c>
    </row>
    <row r="136" spans="109:119" x14ac:dyDescent="0.25">
      <c r="DE136" t="s">
        <v>58</v>
      </c>
      <c r="DF136" t="s">
        <v>59</v>
      </c>
      <c r="DG136" t="s">
        <v>29</v>
      </c>
      <c r="DH136" t="s">
        <v>60</v>
      </c>
      <c r="DI136" t="s">
        <v>6</v>
      </c>
      <c r="DJ136" t="s">
        <v>43</v>
      </c>
      <c r="DK136" t="s">
        <v>27</v>
      </c>
      <c r="DL136" t="s">
        <v>61</v>
      </c>
      <c r="DM136" t="s">
        <v>62</v>
      </c>
      <c r="DN136" t="s">
        <v>63</v>
      </c>
      <c r="DO136" t="s">
        <v>64</v>
      </c>
    </row>
  </sheetData>
  <conditionalFormatting sqref="Z3:AI42 AK4:AK5">
    <cfRule type="cellIs" dxfId="1230" priority="1169" operator="equal">
      <formula>"data"</formula>
    </cfRule>
  </conditionalFormatting>
  <conditionalFormatting sqref="AN56:AW71 BB86:BK89 AN3:AW26 AN28:AW53 BB55:BK66 BB68:BK71 BB73:BK83 AY4:AY5 DS13:EB13 ED13">
    <cfRule type="cellIs" dxfId="1229" priority="1139" operator="equal">
      <formula>"access"</formula>
    </cfRule>
  </conditionalFormatting>
  <conditionalFormatting sqref="BB46:BK52 BB3:BK19 BB21:BK43 DS3:EB4 ED3:ED4 EC4">
    <cfRule type="cellIs" dxfId="1228" priority="1115" operator="equal">
      <formula>"user"</formula>
    </cfRule>
    <cfRule type="cellIs" dxfId="1227" priority="1116" operator="equal">
      <formula>"access"</formula>
    </cfRule>
  </conditionalFormatting>
  <conditionalFormatting sqref="BB86:BK89">
    <cfRule type="cellIs" dxfId="1226" priority="1112" operator="equal">
      <formula>"user"</formula>
    </cfRule>
  </conditionalFormatting>
  <conditionalFormatting sqref="B2:K81">
    <cfRule type="cellIs" dxfId="1225" priority="1111" operator="equal">
      <formula>"data"</formula>
    </cfRule>
  </conditionalFormatting>
  <conditionalFormatting sqref="Z45:AI84">
    <cfRule type="cellIs" dxfId="1224" priority="1108" operator="equal">
      <formula>"access"</formula>
    </cfRule>
  </conditionalFormatting>
  <conditionalFormatting sqref="AN74:AW88">
    <cfRule type="cellIs" dxfId="1223" priority="1105" operator="equal">
      <formula>"user"</formula>
    </cfRule>
    <cfRule type="cellIs" dxfId="1222" priority="1107" operator="equal">
      <formula>"access"</formula>
    </cfRule>
  </conditionalFormatting>
  <conditionalFormatting sqref="AN29:AW53">
    <cfRule type="cellIs" dxfId="1221" priority="1099" operator="equal">
      <formula>"user"</formula>
    </cfRule>
    <cfRule type="cellIs" dxfId="1220" priority="1106" operator="equal">
      <formula>"access"</formula>
    </cfRule>
  </conditionalFormatting>
  <conditionalFormatting sqref="BB74:BK83">
    <cfRule type="cellIs" dxfId="1219" priority="1103" operator="equal">
      <formula>"user"</formula>
    </cfRule>
    <cfRule type="cellIs" dxfId="1218" priority="1104" operator="equal">
      <formula>"access"</formula>
    </cfRule>
  </conditionalFormatting>
  <conditionalFormatting sqref="BB92:BK96">
    <cfRule type="cellIs" dxfId="1217" priority="1101" operator="equal">
      <formula>"access"</formula>
    </cfRule>
    <cfRule type="cellIs" dxfId="1216" priority="1102" operator="equal">
      <formula>"user"</formula>
    </cfRule>
  </conditionalFormatting>
  <conditionalFormatting sqref="AN56:AW71">
    <cfRule type="cellIs" dxfId="1215" priority="1100" operator="equal">
      <formula>"user"</formula>
    </cfRule>
  </conditionalFormatting>
  <conditionalFormatting sqref="BB69:BK71">
    <cfRule type="cellIs" dxfId="1214" priority="1098" operator="equal">
      <formula>"access"</formula>
    </cfRule>
  </conditionalFormatting>
  <conditionalFormatting sqref="BB69:BK71">
    <cfRule type="cellIs" dxfId="1213" priority="1096" operator="equal">
      <formula>"user"</formula>
    </cfRule>
    <cfRule type="cellIs" dxfId="1212" priority="1097" operator="equal">
      <formula>"access"</formula>
    </cfRule>
  </conditionalFormatting>
  <conditionalFormatting sqref="BB22:BK43">
    <cfRule type="cellIs" dxfId="1211" priority="1095" operator="equal">
      <formula>"access"</formula>
    </cfRule>
  </conditionalFormatting>
  <conditionalFormatting sqref="BB22:BK43">
    <cfRule type="cellIs" dxfId="1210" priority="1093" operator="equal">
      <formula>"user"</formula>
    </cfRule>
    <cfRule type="cellIs" dxfId="1209" priority="1094" operator="equal">
      <formula>"access"</formula>
    </cfRule>
  </conditionalFormatting>
  <conditionalFormatting sqref="BM4:BM5">
    <cfRule type="cellIs" dxfId="1208" priority="1092" operator="equal">
      <formula>"access"</formula>
    </cfRule>
  </conditionalFormatting>
  <conditionalFormatting sqref="BB3:BK96 DS3:EB4 ED3:ED4 DS13:EB13 ED13 EC4">
    <cfRule type="cellIs" dxfId="1207" priority="1091" operator="equal">
      <formula>"employee"</formula>
    </cfRule>
  </conditionalFormatting>
  <conditionalFormatting sqref="BP18:BY21">
    <cfRule type="cellIs" dxfId="1206" priority="1089" operator="equal">
      <formula>"user"</formula>
    </cfRule>
    <cfRule type="cellIs" dxfId="1205" priority="1090" operator="equal">
      <formula>"access"</formula>
    </cfRule>
  </conditionalFormatting>
  <conditionalFormatting sqref="BP18:BY21">
    <cfRule type="cellIs" dxfId="1204" priority="1088" operator="equal">
      <formula>"employee"</formula>
    </cfRule>
  </conditionalFormatting>
  <conditionalFormatting sqref="BP3:BY15 CA5">
    <cfRule type="cellIs" dxfId="1203" priority="1086" operator="equal">
      <formula>"user"</formula>
    </cfRule>
    <cfRule type="cellIs" dxfId="1202" priority="1087" operator="equal">
      <formula>"access"</formula>
    </cfRule>
  </conditionalFormatting>
  <conditionalFormatting sqref="BP3:BY15 CA5">
    <cfRule type="cellIs" dxfId="1201" priority="1085" operator="equal">
      <formula>"employee"</formula>
    </cfRule>
  </conditionalFormatting>
  <conditionalFormatting sqref="BP24:BY43">
    <cfRule type="cellIs" dxfId="1200" priority="1083" operator="equal">
      <formula>"user"</formula>
    </cfRule>
    <cfRule type="cellIs" dxfId="1199" priority="1084" operator="equal">
      <formula>"access"</formula>
    </cfRule>
  </conditionalFormatting>
  <conditionalFormatting sqref="BP24:BY43">
    <cfRule type="cellIs" dxfId="1198" priority="1082" operator="equal">
      <formula>"access"</formula>
    </cfRule>
  </conditionalFormatting>
  <conditionalFormatting sqref="BP24:BY43">
    <cfRule type="cellIs" dxfId="1197" priority="1080" operator="equal">
      <formula>"user"</formula>
    </cfRule>
    <cfRule type="cellIs" dxfId="1196" priority="1081" operator="equal">
      <formula>"access"</formula>
    </cfRule>
  </conditionalFormatting>
  <conditionalFormatting sqref="BP24:BY43">
    <cfRule type="cellIs" dxfId="1195" priority="1079" operator="equal">
      <formula>"employee"</formula>
    </cfRule>
  </conditionalFormatting>
  <conditionalFormatting sqref="BP46:BY47">
    <cfRule type="cellIs" dxfId="1194" priority="1077" operator="equal">
      <formula>"user"</formula>
    </cfRule>
    <cfRule type="cellIs" dxfId="1193" priority="1078" operator="equal">
      <formula>"access"</formula>
    </cfRule>
  </conditionalFormatting>
  <conditionalFormatting sqref="BP46:BY47">
    <cfRule type="cellIs" dxfId="1192" priority="1076" operator="equal">
      <formula>"access"</formula>
    </cfRule>
  </conditionalFormatting>
  <conditionalFormatting sqref="BP46:BY47">
    <cfRule type="cellIs" dxfId="1191" priority="1074" operator="equal">
      <formula>"user"</formula>
    </cfRule>
    <cfRule type="cellIs" dxfId="1190" priority="1075" operator="equal">
      <formula>"access"</formula>
    </cfRule>
  </conditionalFormatting>
  <conditionalFormatting sqref="BP46:BY47">
    <cfRule type="cellIs" dxfId="1189" priority="1073" operator="equal">
      <formula>"employee"</formula>
    </cfRule>
  </conditionalFormatting>
  <conditionalFormatting sqref="BP50:BY56">
    <cfRule type="cellIs" dxfId="1188" priority="1071" operator="equal">
      <formula>"user"</formula>
    </cfRule>
    <cfRule type="cellIs" dxfId="1187" priority="1072" operator="equal">
      <formula>"access"</formula>
    </cfRule>
  </conditionalFormatting>
  <conditionalFormatting sqref="BP49:BY56">
    <cfRule type="cellIs" dxfId="1186" priority="1070" operator="equal">
      <formula>"employee"</formula>
    </cfRule>
  </conditionalFormatting>
  <conditionalFormatting sqref="BP59:BY67">
    <cfRule type="cellIs" dxfId="1185" priority="1069" operator="equal">
      <formula>"access"</formula>
    </cfRule>
  </conditionalFormatting>
  <conditionalFormatting sqref="BP59:BY67">
    <cfRule type="cellIs" dxfId="1184" priority="1068" operator="equal">
      <formula>"employee"</formula>
    </cfRule>
  </conditionalFormatting>
  <conditionalFormatting sqref="BP70:BY72">
    <cfRule type="cellIs" dxfId="1183" priority="1067" operator="equal">
      <formula>"access"</formula>
    </cfRule>
  </conditionalFormatting>
  <conditionalFormatting sqref="BP70:BY72">
    <cfRule type="cellIs" dxfId="1182" priority="1066" operator="equal">
      <formula>"employee"</formula>
    </cfRule>
  </conditionalFormatting>
  <conditionalFormatting sqref="BP90:BY91">
    <cfRule type="cellIs" dxfId="1181" priority="1065" operator="equal">
      <formula>"access"</formula>
    </cfRule>
  </conditionalFormatting>
  <conditionalFormatting sqref="BP90:BY91">
    <cfRule type="cellIs" dxfId="1180" priority="1064" operator="equal">
      <formula>"access"</formula>
    </cfRule>
  </conditionalFormatting>
  <conditionalFormatting sqref="BP90:BY91">
    <cfRule type="cellIs" dxfId="1179" priority="1062" operator="equal">
      <formula>"user"</formula>
    </cfRule>
    <cfRule type="cellIs" dxfId="1178" priority="1063" operator="equal">
      <formula>"access"</formula>
    </cfRule>
  </conditionalFormatting>
  <conditionalFormatting sqref="BP90:BY91">
    <cfRule type="cellIs" dxfId="1177" priority="1061" operator="equal">
      <formula>"employee"</formula>
    </cfRule>
  </conditionalFormatting>
  <conditionalFormatting sqref="BP94:BY94">
    <cfRule type="cellIs" dxfId="1176" priority="1060" operator="equal">
      <formula>"access"</formula>
    </cfRule>
  </conditionalFormatting>
  <conditionalFormatting sqref="BP94:BY94">
    <cfRule type="cellIs" dxfId="1175" priority="1059" operator="equal">
      <formula>"access"</formula>
    </cfRule>
  </conditionalFormatting>
  <conditionalFormatting sqref="BP94:BY94">
    <cfRule type="cellIs" dxfId="1174" priority="1057" operator="equal">
      <formula>"user"</formula>
    </cfRule>
    <cfRule type="cellIs" dxfId="1173" priority="1058" operator="equal">
      <formula>"access"</formula>
    </cfRule>
  </conditionalFormatting>
  <conditionalFormatting sqref="BP94:BY94">
    <cfRule type="cellIs" dxfId="1172" priority="1056" operator="equal">
      <formula>"employee"</formula>
    </cfRule>
  </conditionalFormatting>
  <conditionalFormatting sqref="BP75:BY82">
    <cfRule type="cellIs" dxfId="1171" priority="1055" operator="equal">
      <formula>"access"</formula>
    </cfRule>
  </conditionalFormatting>
  <conditionalFormatting sqref="BP75:BY82">
    <cfRule type="cellIs" dxfId="1170" priority="1053" operator="equal">
      <formula>"user"</formula>
    </cfRule>
    <cfRule type="cellIs" dxfId="1169" priority="1054" operator="equal">
      <formula>"access"</formula>
    </cfRule>
  </conditionalFormatting>
  <conditionalFormatting sqref="BP75:BY82">
    <cfRule type="cellIs" dxfId="1168" priority="1052" operator="equal">
      <formula>"employee"</formula>
    </cfRule>
  </conditionalFormatting>
  <conditionalFormatting sqref="BP97:BY98">
    <cfRule type="cellIs" dxfId="1167" priority="1051" operator="equal">
      <formula>"access"</formula>
    </cfRule>
  </conditionalFormatting>
  <conditionalFormatting sqref="BP97:BY98">
    <cfRule type="cellIs" dxfId="1166" priority="1049" operator="equal">
      <formula>"user"</formula>
    </cfRule>
    <cfRule type="cellIs" dxfId="1165" priority="1050" operator="equal">
      <formula>"access"</formula>
    </cfRule>
  </conditionalFormatting>
  <conditionalFormatting sqref="BP97:BY98">
    <cfRule type="cellIs" dxfId="1164" priority="1048" operator="equal">
      <formula>"employee"</formula>
    </cfRule>
  </conditionalFormatting>
  <conditionalFormatting sqref="BP85:BY86">
    <cfRule type="cellIs" dxfId="1163" priority="1047" operator="equal">
      <formula>"access"</formula>
    </cfRule>
  </conditionalFormatting>
  <conditionalFormatting sqref="BP85:BY86">
    <cfRule type="cellIs" dxfId="1162" priority="1046" operator="equal">
      <formula>"user"</formula>
    </cfRule>
  </conditionalFormatting>
  <conditionalFormatting sqref="BP85:BY86">
    <cfRule type="cellIs" dxfId="1161" priority="1045" operator="equal">
      <formula>"employee"</formula>
    </cfRule>
  </conditionalFormatting>
  <conditionalFormatting sqref="BP87:BY87">
    <cfRule type="cellIs" dxfId="1160" priority="1044" operator="equal">
      <formula>"access"</formula>
    </cfRule>
  </conditionalFormatting>
  <conditionalFormatting sqref="BP87:BY87">
    <cfRule type="cellIs" dxfId="1159" priority="1043" operator="equal">
      <formula>"user"</formula>
    </cfRule>
  </conditionalFormatting>
  <conditionalFormatting sqref="BP87:BY87">
    <cfRule type="cellIs" dxfId="1158" priority="1042" operator="equal">
      <formula>"employee"</formula>
    </cfRule>
  </conditionalFormatting>
  <conditionalFormatting sqref="BP101:BY101">
    <cfRule type="cellIs" dxfId="1157" priority="1041" operator="equal">
      <formula>"access"</formula>
    </cfRule>
  </conditionalFormatting>
  <conditionalFormatting sqref="BP101:BY101">
    <cfRule type="cellIs" dxfId="1156" priority="1040" operator="equal">
      <formula>"user"</formula>
    </cfRule>
  </conditionalFormatting>
  <conditionalFormatting sqref="BP101:BY101">
    <cfRule type="cellIs" dxfId="1155" priority="1039" operator="equal">
      <formula>"employee"</formula>
    </cfRule>
  </conditionalFormatting>
  <conditionalFormatting sqref="BP104:BY108">
    <cfRule type="cellIs" dxfId="1154" priority="1037" operator="equal">
      <formula>"access"</formula>
    </cfRule>
    <cfRule type="cellIs" dxfId="1153" priority="1038" operator="equal">
      <formula>"user"</formula>
    </cfRule>
  </conditionalFormatting>
  <conditionalFormatting sqref="BP103:BY108">
    <cfRule type="cellIs" dxfId="1152" priority="1036" operator="equal">
      <formula>"employee"</formula>
    </cfRule>
  </conditionalFormatting>
  <conditionalFormatting sqref="CA4">
    <cfRule type="cellIs" dxfId="1151" priority="1034" operator="equal">
      <formula>"user"</formula>
    </cfRule>
    <cfRule type="cellIs" dxfId="1150" priority="1035" operator="equal">
      <formula>"access"</formula>
    </cfRule>
  </conditionalFormatting>
  <conditionalFormatting sqref="CA4">
    <cfRule type="cellIs" dxfId="1149" priority="1033" operator="equal">
      <formula>"employee"</formula>
    </cfRule>
  </conditionalFormatting>
  <conditionalFormatting sqref="BP3:BY108 DS3:EB4 ED3:ED4 DS13:EB13 ED13 EC4">
    <cfRule type="cellIs" dxfId="1148" priority="1032" operator="equal">
      <formula>"secure"</formula>
    </cfRule>
  </conditionalFormatting>
  <conditionalFormatting sqref="CD8:CM17">
    <cfRule type="cellIs" dxfId="1147" priority="1030" operator="equal">
      <formula>"user"</formula>
    </cfRule>
    <cfRule type="cellIs" dxfId="1146" priority="1031" operator="equal">
      <formula>"access"</formula>
    </cfRule>
  </conditionalFormatting>
  <conditionalFormatting sqref="CD8:CM17">
    <cfRule type="cellIs" dxfId="1145" priority="1029" operator="equal">
      <formula>"employee"</formula>
    </cfRule>
  </conditionalFormatting>
  <conditionalFormatting sqref="CD8:CM17">
    <cfRule type="cellIs" dxfId="1144" priority="1028" operator="equal">
      <formula>"secure"</formula>
    </cfRule>
  </conditionalFormatting>
  <conditionalFormatting sqref="CD3:CM5 CO4:CO5 CQ5">
    <cfRule type="cellIs" dxfId="1143" priority="1026" operator="equal">
      <formula>"user"</formula>
    </cfRule>
    <cfRule type="cellIs" dxfId="1142" priority="1027" operator="equal">
      <formula>"access"</formula>
    </cfRule>
  </conditionalFormatting>
  <conditionalFormatting sqref="CD3:CM5 CO4:CO5 CQ5">
    <cfRule type="cellIs" dxfId="1141" priority="1025" operator="equal">
      <formula>"employee"</formula>
    </cfRule>
  </conditionalFormatting>
  <conditionalFormatting sqref="CD3:CM5 CO4:CO5 CQ5">
    <cfRule type="cellIs" dxfId="1140" priority="1024" operator="equal">
      <formula>"secure"</formula>
    </cfRule>
  </conditionalFormatting>
  <conditionalFormatting sqref="CD23:CM26">
    <cfRule type="cellIs" dxfId="1139" priority="1022" operator="equal">
      <formula>"user"</formula>
    </cfRule>
    <cfRule type="cellIs" dxfId="1138" priority="1023" operator="equal">
      <formula>"access"</formula>
    </cfRule>
  </conditionalFormatting>
  <conditionalFormatting sqref="CD23:CM26">
    <cfRule type="cellIs" dxfId="1137" priority="1021" operator="equal">
      <formula>"employee"</formula>
    </cfRule>
  </conditionalFormatting>
  <conditionalFormatting sqref="CD29:CM47">
    <cfRule type="cellIs" dxfId="1136" priority="1019" operator="equal">
      <formula>"user"</formula>
    </cfRule>
    <cfRule type="cellIs" dxfId="1135" priority="1020" operator="equal">
      <formula>"access"</formula>
    </cfRule>
  </conditionalFormatting>
  <conditionalFormatting sqref="CD29:CM47">
    <cfRule type="cellIs" dxfId="1134" priority="1018" operator="equal">
      <formula>"access"</formula>
    </cfRule>
  </conditionalFormatting>
  <conditionalFormatting sqref="CD29:CM47">
    <cfRule type="cellIs" dxfId="1133" priority="1016" operator="equal">
      <formula>"user"</formula>
    </cfRule>
    <cfRule type="cellIs" dxfId="1132" priority="1017" operator="equal">
      <formula>"access"</formula>
    </cfRule>
  </conditionalFormatting>
  <conditionalFormatting sqref="CD29:CM47">
    <cfRule type="cellIs" dxfId="1131" priority="1015" operator="equal">
      <formula>"employee"</formula>
    </cfRule>
  </conditionalFormatting>
  <conditionalFormatting sqref="CD22:CM47">
    <cfRule type="cellIs" dxfId="1130" priority="1014" operator="equal">
      <formula>"secure"</formula>
    </cfRule>
  </conditionalFormatting>
  <conditionalFormatting sqref="CD20:CM20">
    <cfRule type="cellIs" dxfId="1129" priority="1012" operator="equal">
      <formula>"user"</formula>
    </cfRule>
    <cfRule type="cellIs" dxfId="1128" priority="1013" operator="equal">
      <formula>"access"</formula>
    </cfRule>
  </conditionalFormatting>
  <conditionalFormatting sqref="CD20:CM20">
    <cfRule type="cellIs" dxfId="1127" priority="1011" operator="equal">
      <formula>"access"</formula>
    </cfRule>
  </conditionalFormatting>
  <conditionalFormatting sqref="CD20:CM20">
    <cfRule type="cellIs" dxfId="1126" priority="1009" operator="equal">
      <formula>"user"</formula>
    </cfRule>
    <cfRule type="cellIs" dxfId="1125" priority="1010" operator="equal">
      <formula>"access"</formula>
    </cfRule>
  </conditionalFormatting>
  <conditionalFormatting sqref="CD20:CM20">
    <cfRule type="cellIs" dxfId="1124" priority="1008" operator="equal">
      <formula>"employee"</formula>
    </cfRule>
  </conditionalFormatting>
  <conditionalFormatting sqref="CD20:CM20">
    <cfRule type="cellIs" dxfId="1123" priority="1007" operator="equal">
      <formula>"secure"</formula>
    </cfRule>
  </conditionalFormatting>
  <conditionalFormatting sqref="CD54:CM55">
    <cfRule type="cellIs" dxfId="1122" priority="1005" operator="equal">
      <formula>"user"</formula>
    </cfRule>
    <cfRule type="cellIs" dxfId="1121" priority="1006" operator="equal">
      <formula>"access"</formula>
    </cfRule>
  </conditionalFormatting>
  <conditionalFormatting sqref="CD54:CM55">
    <cfRule type="cellIs" dxfId="1120" priority="1004" operator="equal">
      <formula>"access"</formula>
    </cfRule>
  </conditionalFormatting>
  <conditionalFormatting sqref="CD54:CM55">
    <cfRule type="cellIs" dxfId="1119" priority="1002" operator="equal">
      <formula>"user"</formula>
    </cfRule>
    <cfRule type="cellIs" dxfId="1118" priority="1003" operator="equal">
      <formula>"access"</formula>
    </cfRule>
  </conditionalFormatting>
  <conditionalFormatting sqref="CD54:CM55">
    <cfRule type="cellIs" dxfId="1117" priority="1001" operator="equal">
      <formula>"employee"</formula>
    </cfRule>
  </conditionalFormatting>
  <conditionalFormatting sqref="CD58:CM62">
    <cfRule type="cellIs" dxfId="1116" priority="999" operator="equal">
      <formula>"user"</formula>
    </cfRule>
    <cfRule type="cellIs" dxfId="1115" priority="1000" operator="equal">
      <formula>"access"</formula>
    </cfRule>
  </conditionalFormatting>
  <conditionalFormatting sqref="CD57:CM62">
    <cfRule type="cellIs" dxfId="1114" priority="998" operator="equal">
      <formula>"employee"</formula>
    </cfRule>
  </conditionalFormatting>
  <conditionalFormatting sqref="CD53:CM62">
    <cfRule type="cellIs" dxfId="1113" priority="997" operator="equal">
      <formula>"secure"</formula>
    </cfRule>
  </conditionalFormatting>
  <conditionalFormatting sqref="CD50:CM51">
    <cfRule type="cellIs" dxfId="1112" priority="995" operator="equal">
      <formula>"user"</formula>
    </cfRule>
    <cfRule type="cellIs" dxfId="1111" priority="996" operator="equal">
      <formula>"access"</formula>
    </cfRule>
  </conditionalFormatting>
  <conditionalFormatting sqref="CD50:CM51">
    <cfRule type="cellIs" dxfId="1110" priority="994" operator="equal">
      <formula>"employee"</formula>
    </cfRule>
  </conditionalFormatting>
  <conditionalFormatting sqref="CD50:CM51">
    <cfRule type="cellIs" dxfId="1109" priority="993" operator="equal">
      <formula>"secure"</formula>
    </cfRule>
  </conditionalFormatting>
  <conditionalFormatting sqref="CD69:CM75">
    <cfRule type="cellIs" dxfId="1108" priority="992" operator="equal">
      <formula>"access"</formula>
    </cfRule>
  </conditionalFormatting>
  <conditionalFormatting sqref="CD69:CM75">
    <cfRule type="cellIs" dxfId="1107" priority="991" operator="equal">
      <formula>"employee"</formula>
    </cfRule>
  </conditionalFormatting>
  <conditionalFormatting sqref="CD68:CM75">
    <cfRule type="cellIs" dxfId="1106" priority="990" operator="equal">
      <formula>"secure"</formula>
    </cfRule>
  </conditionalFormatting>
  <conditionalFormatting sqref="CD65:CM66">
    <cfRule type="cellIs" dxfId="1105" priority="989" operator="equal">
      <formula>"access"</formula>
    </cfRule>
  </conditionalFormatting>
  <conditionalFormatting sqref="CD65:CM66">
    <cfRule type="cellIs" dxfId="1104" priority="988" operator="equal">
      <formula>"employee"</formula>
    </cfRule>
  </conditionalFormatting>
  <conditionalFormatting sqref="CD65:CM66">
    <cfRule type="cellIs" dxfId="1103" priority="987" operator="equal">
      <formula>"secure"</formula>
    </cfRule>
  </conditionalFormatting>
  <conditionalFormatting sqref="CD81:CM83">
    <cfRule type="cellIs" dxfId="1102" priority="986" operator="equal">
      <formula>"access"</formula>
    </cfRule>
  </conditionalFormatting>
  <conditionalFormatting sqref="CD81:CM83">
    <cfRule type="cellIs" dxfId="1101" priority="985" operator="equal">
      <formula>"employee"</formula>
    </cfRule>
  </conditionalFormatting>
  <conditionalFormatting sqref="CD86:CM92">
    <cfRule type="cellIs" dxfId="1100" priority="984" operator="equal">
      <formula>"access"</formula>
    </cfRule>
  </conditionalFormatting>
  <conditionalFormatting sqref="CD86:CM92">
    <cfRule type="cellIs" dxfId="1099" priority="982" operator="equal">
      <formula>"user"</formula>
    </cfRule>
    <cfRule type="cellIs" dxfId="1098" priority="983" operator="equal">
      <formula>"access"</formula>
    </cfRule>
  </conditionalFormatting>
  <conditionalFormatting sqref="CD86:CM92">
    <cfRule type="cellIs" dxfId="1097" priority="981" operator="equal">
      <formula>"employee"</formula>
    </cfRule>
  </conditionalFormatting>
  <conditionalFormatting sqref="CD80:CM92">
    <cfRule type="cellIs" dxfId="1096" priority="980" operator="equal">
      <formula>"secure"</formula>
    </cfRule>
  </conditionalFormatting>
  <conditionalFormatting sqref="CD78:CM78">
    <cfRule type="cellIs" dxfId="1095" priority="979" operator="equal">
      <formula>"access"</formula>
    </cfRule>
  </conditionalFormatting>
  <conditionalFormatting sqref="CD78:CM78">
    <cfRule type="cellIs" dxfId="1094" priority="977" operator="equal">
      <formula>"user"</formula>
    </cfRule>
    <cfRule type="cellIs" dxfId="1093" priority="978" operator="equal">
      <formula>"access"</formula>
    </cfRule>
  </conditionalFormatting>
  <conditionalFormatting sqref="CD78:CM78">
    <cfRule type="cellIs" dxfId="1092" priority="976" operator="equal">
      <formula>"employee"</formula>
    </cfRule>
  </conditionalFormatting>
  <conditionalFormatting sqref="CD78:CM78">
    <cfRule type="cellIs" dxfId="1091" priority="975" operator="equal">
      <formula>"secure"</formula>
    </cfRule>
  </conditionalFormatting>
  <conditionalFormatting sqref="CD103:CM104">
    <cfRule type="cellIs" dxfId="1090" priority="974" operator="equal">
      <formula>"access"</formula>
    </cfRule>
  </conditionalFormatting>
  <conditionalFormatting sqref="CD103:CM104">
    <cfRule type="cellIs" dxfId="1089" priority="973" operator="equal">
      <formula>"access"</formula>
    </cfRule>
  </conditionalFormatting>
  <conditionalFormatting sqref="CD103:CM104">
    <cfRule type="cellIs" dxfId="1088" priority="971" operator="equal">
      <formula>"user"</formula>
    </cfRule>
    <cfRule type="cellIs" dxfId="1087" priority="972" operator="equal">
      <formula>"access"</formula>
    </cfRule>
  </conditionalFormatting>
  <conditionalFormatting sqref="CD103:CM104">
    <cfRule type="cellIs" dxfId="1086" priority="970" operator="equal">
      <formula>"employee"</formula>
    </cfRule>
  </conditionalFormatting>
  <conditionalFormatting sqref="CD107:CM107">
    <cfRule type="cellIs" dxfId="1085" priority="969" operator="equal">
      <formula>"access"</formula>
    </cfRule>
  </conditionalFormatting>
  <conditionalFormatting sqref="CD107:CM107">
    <cfRule type="cellIs" dxfId="1084" priority="968" operator="equal">
      <formula>"access"</formula>
    </cfRule>
  </conditionalFormatting>
  <conditionalFormatting sqref="CD107:CM107">
    <cfRule type="cellIs" dxfId="1083" priority="966" operator="equal">
      <formula>"user"</formula>
    </cfRule>
    <cfRule type="cellIs" dxfId="1082" priority="967" operator="equal">
      <formula>"access"</formula>
    </cfRule>
  </conditionalFormatting>
  <conditionalFormatting sqref="CD107:CM107">
    <cfRule type="cellIs" dxfId="1081" priority="965" operator="equal">
      <formula>"employee"</formula>
    </cfRule>
  </conditionalFormatting>
  <conditionalFormatting sqref="CD110:CM111">
    <cfRule type="cellIs" dxfId="1080" priority="964" operator="equal">
      <formula>"access"</formula>
    </cfRule>
  </conditionalFormatting>
  <conditionalFormatting sqref="CD110:CM111">
    <cfRule type="cellIs" dxfId="1079" priority="962" operator="equal">
      <formula>"user"</formula>
    </cfRule>
    <cfRule type="cellIs" dxfId="1078" priority="963" operator="equal">
      <formula>"access"</formula>
    </cfRule>
  </conditionalFormatting>
  <conditionalFormatting sqref="CD110:CM111">
    <cfRule type="cellIs" dxfId="1077" priority="961" operator="equal">
      <formula>"employee"</formula>
    </cfRule>
  </conditionalFormatting>
  <conditionalFormatting sqref="CD98:CM99">
    <cfRule type="cellIs" dxfId="1076" priority="960" operator="equal">
      <formula>"access"</formula>
    </cfRule>
  </conditionalFormatting>
  <conditionalFormatting sqref="CD98:CM99">
    <cfRule type="cellIs" dxfId="1075" priority="959" operator="equal">
      <formula>"user"</formula>
    </cfRule>
  </conditionalFormatting>
  <conditionalFormatting sqref="CD98:CM99">
    <cfRule type="cellIs" dxfId="1074" priority="958" operator="equal">
      <formula>"employee"</formula>
    </cfRule>
  </conditionalFormatting>
  <conditionalFormatting sqref="CD100:CM100">
    <cfRule type="cellIs" dxfId="1073" priority="957" operator="equal">
      <formula>"access"</formula>
    </cfRule>
  </conditionalFormatting>
  <conditionalFormatting sqref="CD100:CM100">
    <cfRule type="cellIs" dxfId="1072" priority="956" operator="equal">
      <formula>"user"</formula>
    </cfRule>
  </conditionalFormatting>
  <conditionalFormatting sqref="CD100:CM100">
    <cfRule type="cellIs" dxfId="1071" priority="955" operator="equal">
      <formula>"employee"</formula>
    </cfRule>
  </conditionalFormatting>
  <conditionalFormatting sqref="CD114:CM114">
    <cfRule type="cellIs" dxfId="1070" priority="954" operator="equal">
      <formula>"access"</formula>
    </cfRule>
  </conditionalFormatting>
  <conditionalFormatting sqref="CD114:CM114">
    <cfRule type="cellIs" dxfId="1069" priority="953" operator="equal">
      <formula>"user"</formula>
    </cfRule>
  </conditionalFormatting>
  <conditionalFormatting sqref="CD114:CM114">
    <cfRule type="cellIs" dxfId="1068" priority="952" operator="equal">
      <formula>"employee"</formula>
    </cfRule>
  </conditionalFormatting>
  <conditionalFormatting sqref="CD117:CM120">
    <cfRule type="cellIs" dxfId="1067" priority="950" operator="equal">
      <formula>"access"</formula>
    </cfRule>
    <cfRule type="cellIs" dxfId="1066" priority="951" operator="equal">
      <formula>"user"</formula>
    </cfRule>
  </conditionalFormatting>
  <conditionalFormatting sqref="CD116:CM120">
    <cfRule type="cellIs" dxfId="1065" priority="949" operator="equal">
      <formula>"employee"</formula>
    </cfRule>
  </conditionalFormatting>
  <conditionalFormatting sqref="CD97:CM120">
    <cfRule type="cellIs" dxfId="1064" priority="948" operator="equal">
      <formula>"secure"</formula>
    </cfRule>
  </conditionalFormatting>
  <conditionalFormatting sqref="CD123:CM123">
    <cfRule type="cellIs" dxfId="1063" priority="946" operator="equal">
      <formula>"access"</formula>
    </cfRule>
    <cfRule type="cellIs" dxfId="1062" priority="947" operator="equal">
      <formula>"user"</formula>
    </cfRule>
  </conditionalFormatting>
  <conditionalFormatting sqref="CD123:CM123">
    <cfRule type="cellIs" dxfId="1061" priority="945" operator="equal">
      <formula>"employee"</formula>
    </cfRule>
  </conditionalFormatting>
  <conditionalFormatting sqref="CD123:CM123">
    <cfRule type="cellIs" dxfId="1060" priority="944" operator="equal">
      <formula>"secure"</formula>
    </cfRule>
  </conditionalFormatting>
  <conditionalFormatting sqref="CD3:CM123 DS3:EB4 ED3:ED4 DS13:EB13 ED13 EC4">
    <cfRule type="cellIs" dxfId="1059" priority="943" operator="equal">
      <formula>"microsoft"</formula>
    </cfRule>
  </conditionalFormatting>
  <conditionalFormatting sqref="CR3:DA3">
    <cfRule type="cellIs" dxfId="1058" priority="941" operator="equal">
      <formula>"user"</formula>
    </cfRule>
    <cfRule type="cellIs" dxfId="1057" priority="942" operator="equal">
      <formula>"access"</formula>
    </cfRule>
  </conditionalFormatting>
  <conditionalFormatting sqref="CR3:DA3">
    <cfRule type="cellIs" dxfId="1056" priority="940" operator="equal">
      <formula>"employee"</formula>
    </cfRule>
  </conditionalFormatting>
  <conditionalFormatting sqref="CR3:DA3">
    <cfRule type="cellIs" dxfId="1055" priority="939" operator="equal">
      <formula>"secure"</formula>
    </cfRule>
  </conditionalFormatting>
  <conditionalFormatting sqref="CR3:DA3">
    <cfRule type="cellIs" dxfId="1054" priority="938" operator="equal">
      <formula>"microsoft"</formula>
    </cfRule>
  </conditionalFormatting>
  <conditionalFormatting sqref="CR6:DA7 DC5">
    <cfRule type="cellIs" dxfId="1053" priority="936" operator="equal">
      <formula>"user"</formula>
    </cfRule>
    <cfRule type="cellIs" dxfId="1052" priority="937" operator="equal">
      <formula>"access"</formula>
    </cfRule>
  </conditionalFormatting>
  <conditionalFormatting sqref="CR6:DA7 DC5">
    <cfRule type="cellIs" dxfId="1051" priority="935" operator="equal">
      <formula>"employee"</formula>
    </cfRule>
  </conditionalFormatting>
  <conditionalFormatting sqref="CR6:DA7 DC5">
    <cfRule type="cellIs" dxfId="1050" priority="934" operator="equal">
      <formula>"secure"</formula>
    </cfRule>
  </conditionalFormatting>
  <conditionalFormatting sqref="CR6:DA7 DC5">
    <cfRule type="cellIs" dxfId="1049" priority="933" operator="equal">
      <formula>"microsoft"</formula>
    </cfRule>
  </conditionalFormatting>
  <conditionalFormatting sqref="CR10:DA19 DD19">
    <cfRule type="cellIs" dxfId="1048" priority="931" operator="equal">
      <formula>"user"</formula>
    </cfRule>
    <cfRule type="cellIs" dxfId="1047" priority="932" operator="equal">
      <formula>"access"</formula>
    </cfRule>
  </conditionalFormatting>
  <conditionalFormatting sqref="CR10:DA19 DD19">
    <cfRule type="cellIs" dxfId="1046" priority="930" operator="equal">
      <formula>"employee"</formula>
    </cfRule>
  </conditionalFormatting>
  <conditionalFormatting sqref="CR10:DA19 DD19">
    <cfRule type="cellIs" dxfId="1045" priority="929" operator="equal">
      <formula>"secure"</formula>
    </cfRule>
  </conditionalFormatting>
  <conditionalFormatting sqref="CR25:DA28 DD26">
    <cfRule type="cellIs" dxfId="1044" priority="927" operator="equal">
      <formula>"user"</formula>
    </cfRule>
    <cfRule type="cellIs" dxfId="1043" priority="928" operator="equal">
      <formula>"access"</formula>
    </cfRule>
  </conditionalFormatting>
  <conditionalFormatting sqref="CR25:DA28 DD26">
    <cfRule type="cellIs" dxfId="1042" priority="926" operator="equal">
      <formula>"employee"</formula>
    </cfRule>
  </conditionalFormatting>
  <conditionalFormatting sqref="CR31:DA49 DD32">
    <cfRule type="cellIs" dxfId="1041" priority="924" operator="equal">
      <formula>"user"</formula>
    </cfRule>
    <cfRule type="cellIs" dxfId="1040" priority="925" operator="equal">
      <formula>"access"</formula>
    </cfRule>
  </conditionalFormatting>
  <conditionalFormatting sqref="CR31:DA49 DD32">
    <cfRule type="cellIs" dxfId="1039" priority="923" operator="equal">
      <formula>"access"</formula>
    </cfRule>
  </conditionalFormatting>
  <conditionalFormatting sqref="CR31:DA49 DD32">
    <cfRule type="cellIs" dxfId="1038" priority="921" operator="equal">
      <formula>"user"</formula>
    </cfRule>
    <cfRule type="cellIs" dxfId="1037" priority="922" operator="equal">
      <formula>"access"</formula>
    </cfRule>
  </conditionalFormatting>
  <conditionalFormatting sqref="CR31:DA49 DD32">
    <cfRule type="cellIs" dxfId="1036" priority="920" operator="equal">
      <formula>"employee"</formula>
    </cfRule>
  </conditionalFormatting>
  <conditionalFormatting sqref="CR24:DA49 DD26 DD32">
    <cfRule type="cellIs" dxfId="1035" priority="919" operator="equal">
      <formula>"secure"</formula>
    </cfRule>
  </conditionalFormatting>
  <conditionalFormatting sqref="CR22:DA22">
    <cfRule type="cellIs" dxfId="1034" priority="917" operator="equal">
      <formula>"user"</formula>
    </cfRule>
    <cfRule type="cellIs" dxfId="1033" priority="918" operator="equal">
      <formula>"access"</formula>
    </cfRule>
  </conditionalFormatting>
  <conditionalFormatting sqref="CR22:DA22">
    <cfRule type="cellIs" dxfId="1032" priority="916" operator="equal">
      <formula>"access"</formula>
    </cfRule>
  </conditionalFormatting>
  <conditionalFormatting sqref="CR22:DA22">
    <cfRule type="cellIs" dxfId="1031" priority="914" operator="equal">
      <formula>"user"</formula>
    </cfRule>
    <cfRule type="cellIs" dxfId="1030" priority="915" operator="equal">
      <formula>"access"</formula>
    </cfRule>
  </conditionalFormatting>
  <conditionalFormatting sqref="CR22:DA22">
    <cfRule type="cellIs" dxfId="1029" priority="913" operator="equal">
      <formula>"employee"</formula>
    </cfRule>
  </conditionalFormatting>
  <conditionalFormatting sqref="CR22:DA22">
    <cfRule type="cellIs" dxfId="1028" priority="912" operator="equal">
      <formula>"secure"</formula>
    </cfRule>
  </conditionalFormatting>
  <conditionalFormatting sqref="CR56:DA57">
    <cfRule type="cellIs" dxfId="1027" priority="910" operator="equal">
      <formula>"user"</formula>
    </cfRule>
    <cfRule type="cellIs" dxfId="1026" priority="911" operator="equal">
      <formula>"access"</formula>
    </cfRule>
  </conditionalFormatting>
  <conditionalFormatting sqref="CR56:DA57">
    <cfRule type="cellIs" dxfId="1025" priority="909" operator="equal">
      <formula>"access"</formula>
    </cfRule>
  </conditionalFormatting>
  <conditionalFormatting sqref="CR56:DA57">
    <cfRule type="cellIs" dxfId="1024" priority="907" operator="equal">
      <formula>"user"</formula>
    </cfRule>
    <cfRule type="cellIs" dxfId="1023" priority="908" operator="equal">
      <formula>"access"</formula>
    </cfRule>
  </conditionalFormatting>
  <conditionalFormatting sqref="CR56:DA57">
    <cfRule type="cellIs" dxfId="1022" priority="906" operator="equal">
      <formula>"employee"</formula>
    </cfRule>
  </conditionalFormatting>
  <conditionalFormatting sqref="CR60:DA64 DD61">
    <cfRule type="cellIs" dxfId="1021" priority="904" operator="equal">
      <formula>"user"</formula>
    </cfRule>
    <cfRule type="cellIs" dxfId="1020" priority="905" operator="equal">
      <formula>"access"</formula>
    </cfRule>
  </conditionalFormatting>
  <conditionalFormatting sqref="CR59:DA64 DD61">
    <cfRule type="cellIs" dxfId="1019" priority="903" operator="equal">
      <formula>"employee"</formula>
    </cfRule>
  </conditionalFormatting>
  <conditionalFormatting sqref="CR55:DA64 DD61">
    <cfRule type="cellIs" dxfId="1018" priority="902" operator="equal">
      <formula>"secure"</formula>
    </cfRule>
  </conditionalFormatting>
  <conditionalFormatting sqref="CR52:DA53">
    <cfRule type="cellIs" dxfId="1017" priority="900" operator="equal">
      <formula>"user"</formula>
    </cfRule>
    <cfRule type="cellIs" dxfId="1016" priority="901" operator="equal">
      <formula>"access"</formula>
    </cfRule>
  </conditionalFormatting>
  <conditionalFormatting sqref="CR52:DA53">
    <cfRule type="cellIs" dxfId="1015" priority="899" operator="equal">
      <formula>"employee"</formula>
    </cfRule>
  </conditionalFormatting>
  <conditionalFormatting sqref="CR52:DA53">
    <cfRule type="cellIs" dxfId="1014" priority="898" operator="equal">
      <formula>"secure"</formula>
    </cfRule>
  </conditionalFormatting>
  <conditionalFormatting sqref="CR71:DA77 DD72 DD75">
    <cfRule type="cellIs" dxfId="1013" priority="897" operator="equal">
      <formula>"access"</formula>
    </cfRule>
  </conditionalFormatting>
  <conditionalFormatting sqref="CR71:DA77 DD72 DD75">
    <cfRule type="cellIs" dxfId="1012" priority="896" operator="equal">
      <formula>"employee"</formula>
    </cfRule>
  </conditionalFormatting>
  <conditionalFormatting sqref="CR70:DA77 DD72 DD75">
    <cfRule type="cellIs" dxfId="1011" priority="895" operator="equal">
      <formula>"secure"</formula>
    </cfRule>
  </conditionalFormatting>
  <conditionalFormatting sqref="CR67:DA68">
    <cfRule type="cellIs" dxfId="1010" priority="894" operator="equal">
      <formula>"access"</formula>
    </cfRule>
  </conditionalFormatting>
  <conditionalFormatting sqref="CR67:DA68">
    <cfRule type="cellIs" dxfId="1009" priority="893" operator="equal">
      <formula>"employee"</formula>
    </cfRule>
  </conditionalFormatting>
  <conditionalFormatting sqref="CR67:DA68">
    <cfRule type="cellIs" dxfId="1008" priority="892" operator="equal">
      <formula>"secure"</formula>
    </cfRule>
  </conditionalFormatting>
  <conditionalFormatting sqref="CR83:DA85">
    <cfRule type="cellIs" dxfId="1007" priority="891" operator="equal">
      <formula>"access"</formula>
    </cfRule>
  </conditionalFormatting>
  <conditionalFormatting sqref="CR83:DA85">
    <cfRule type="cellIs" dxfId="1006" priority="890" operator="equal">
      <formula>"employee"</formula>
    </cfRule>
  </conditionalFormatting>
  <conditionalFormatting sqref="CR88:DA94 DD89">
    <cfRule type="cellIs" dxfId="1005" priority="889" operator="equal">
      <formula>"access"</formula>
    </cfRule>
  </conditionalFormatting>
  <conditionalFormatting sqref="CR88:DA94 DD89">
    <cfRule type="cellIs" dxfId="1004" priority="887" operator="equal">
      <formula>"user"</formula>
    </cfRule>
    <cfRule type="cellIs" dxfId="1003" priority="888" operator="equal">
      <formula>"access"</formula>
    </cfRule>
  </conditionalFormatting>
  <conditionalFormatting sqref="CR88:DA94 DD89">
    <cfRule type="cellIs" dxfId="1002" priority="886" operator="equal">
      <formula>"employee"</formula>
    </cfRule>
  </conditionalFormatting>
  <conditionalFormatting sqref="CR82:DA94 DD89">
    <cfRule type="cellIs" dxfId="1001" priority="885" operator="equal">
      <formula>"secure"</formula>
    </cfRule>
  </conditionalFormatting>
  <conditionalFormatting sqref="CR80:DA80">
    <cfRule type="cellIs" dxfId="1000" priority="884" operator="equal">
      <formula>"access"</formula>
    </cfRule>
  </conditionalFormatting>
  <conditionalFormatting sqref="CR80:DA80">
    <cfRule type="cellIs" dxfId="999" priority="882" operator="equal">
      <formula>"user"</formula>
    </cfRule>
    <cfRule type="cellIs" dxfId="998" priority="883" operator="equal">
      <formula>"access"</formula>
    </cfRule>
  </conditionalFormatting>
  <conditionalFormatting sqref="CR80:DA80">
    <cfRule type="cellIs" dxfId="997" priority="881" operator="equal">
      <formula>"employee"</formula>
    </cfRule>
  </conditionalFormatting>
  <conditionalFormatting sqref="CR80:DA80">
    <cfRule type="cellIs" dxfId="996" priority="880" operator="equal">
      <formula>"secure"</formula>
    </cfRule>
  </conditionalFormatting>
  <conditionalFormatting sqref="CR105:DA106">
    <cfRule type="cellIs" dxfId="995" priority="879" operator="equal">
      <formula>"access"</formula>
    </cfRule>
  </conditionalFormatting>
  <conditionalFormatting sqref="CR105:DA106">
    <cfRule type="cellIs" dxfId="994" priority="878" operator="equal">
      <formula>"access"</formula>
    </cfRule>
  </conditionalFormatting>
  <conditionalFormatting sqref="CR105:DA106">
    <cfRule type="cellIs" dxfId="993" priority="876" operator="equal">
      <formula>"user"</formula>
    </cfRule>
    <cfRule type="cellIs" dxfId="992" priority="877" operator="equal">
      <formula>"access"</formula>
    </cfRule>
  </conditionalFormatting>
  <conditionalFormatting sqref="CR105:DA106">
    <cfRule type="cellIs" dxfId="991" priority="875" operator="equal">
      <formula>"employee"</formula>
    </cfRule>
  </conditionalFormatting>
  <conditionalFormatting sqref="CR109:DA109">
    <cfRule type="cellIs" dxfId="990" priority="874" operator="equal">
      <formula>"access"</formula>
    </cfRule>
  </conditionalFormatting>
  <conditionalFormatting sqref="CR109:DA109">
    <cfRule type="cellIs" dxfId="989" priority="873" operator="equal">
      <formula>"access"</formula>
    </cfRule>
  </conditionalFormatting>
  <conditionalFormatting sqref="CR109:DA109">
    <cfRule type="cellIs" dxfId="988" priority="871" operator="equal">
      <formula>"user"</formula>
    </cfRule>
    <cfRule type="cellIs" dxfId="987" priority="872" operator="equal">
      <formula>"access"</formula>
    </cfRule>
  </conditionalFormatting>
  <conditionalFormatting sqref="CR109:DA109">
    <cfRule type="cellIs" dxfId="986" priority="870" operator="equal">
      <formula>"employee"</formula>
    </cfRule>
  </conditionalFormatting>
  <conditionalFormatting sqref="CR112:DA113">
    <cfRule type="cellIs" dxfId="985" priority="869" operator="equal">
      <formula>"access"</formula>
    </cfRule>
  </conditionalFormatting>
  <conditionalFormatting sqref="CR112:DA113">
    <cfRule type="cellIs" dxfId="984" priority="867" operator="equal">
      <formula>"user"</formula>
    </cfRule>
    <cfRule type="cellIs" dxfId="983" priority="868" operator="equal">
      <formula>"access"</formula>
    </cfRule>
  </conditionalFormatting>
  <conditionalFormatting sqref="CR112:DA113">
    <cfRule type="cellIs" dxfId="982" priority="866" operator="equal">
      <formula>"employee"</formula>
    </cfRule>
  </conditionalFormatting>
  <conditionalFormatting sqref="CR100:DA101">
    <cfRule type="cellIs" dxfId="981" priority="865" operator="equal">
      <formula>"access"</formula>
    </cfRule>
  </conditionalFormatting>
  <conditionalFormatting sqref="CR100:DA101">
    <cfRule type="cellIs" dxfId="980" priority="864" operator="equal">
      <formula>"user"</formula>
    </cfRule>
  </conditionalFormatting>
  <conditionalFormatting sqref="CR100:DA101">
    <cfRule type="cellIs" dxfId="979" priority="863" operator="equal">
      <formula>"employee"</formula>
    </cfRule>
  </conditionalFormatting>
  <conditionalFormatting sqref="CR102:DA102">
    <cfRule type="cellIs" dxfId="978" priority="862" operator="equal">
      <formula>"access"</formula>
    </cfRule>
  </conditionalFormatting>
  <conditionalFormatting sqref="CR102:DA102">
    <cfRule type="cellIs" dxfId="977" priority="861" operator="equal">
      <formula>"user"</formula>
    </cfRule>
  </conditionalFormatting>
  <conditionalFormatting sqref="CR102:DA102">
    <cfRule type="cellIs" dxfId="976" priority="860" operator="equal">
      <formula>"employee"</formula>
    </cfRule>
  </conditionalFormatting>
  <conditionalFormatting sqref="CR116:DA116">
    <cfRule type="cellIs" dxfId="975" priority="859" operator="equal">
      <formula>"access"</formula>
    </cfRule>
  </conditionalFormatting>
  <conditionalFormatting sqref="CR116:DA116">
    <cfRule type="cellIs" dxfId="974" priority="858" operator="equal">
      <formula>"user"</formula>
    </cfRule>
  </conditionalFormatting>
  <conditionalFormatting sqref="CR116:DA116">
    <cfRule type="cellIs" dxfId="973" priority="857" operator="equal">
      <formula>"employee"</formula>
    </cfRule>
  </conditionalFormatting>
  <conditionalFormatting sqref="CR119:DA122">
    <cfRule type="cellIs" dxfId="972" priority="855" operator="equal">
      <formula>"access"</formula>
    </cfRule>
    <cfRule type="cellIs" dxfId="971" priority="856" operator="equal">
      <formula>"user"</formula>
    </cfRule>
  </conditionalFormatting>
  <conditionalFormatting sqref="CR118:DA122">
    <cfRule type="cellIs" dxfId="970" priority="854" operator="equal">
      <formula>"employee"</formula>
    </cfRule>
  </conditionalFormatting>
  <conditionalFormatting sqref="CR99:DA122">
    <cfRule type="cellIs" dxfId="969" priority="853" operator="equal">
      <formula>"secure"</formula>
    </cfRule>
  </conditionalFormatting>
  <conditionalFormatting sqref="CR125:DA125">
    <cfRule type="cellIs" dxfId="968" priority="851" operator="equal">
      <formula>"access"</formula>
    </cfRule>
    <cfRule type="cellIs" dxfId="967" priority="852" operator="equal">
      <formula>"user"</formula>
    </cfRule>
  </conditionalFormatting>
  <conditionalFormatting sqref="CR125:DA125">
    <cfRule type="cellIs" dxfId="966" priority="850" operator="equal">
      <formula>"employee"</formula>
    </cfRule>
  </conditionalFormatting>
  <conditionalFormatting sqref="CR125:DA125">
    <cfRule type="cellIs" dxfId="965" priority="849" operator="equal">
      <formula>"secure"</formula>
    </cfRule>
  </conditionalFormatting>
  <conditionalFormatting sqref="CR9:DA125 DD19 DD26 DD32 DD61 DD72 DD75 DD89">
    <cfRule type="cellIs" dxfId="964" priority="848" operator="equal">
      <formula>"microsoft"</formula>
    </cfRule>
  </conditionalFormatting>
  <conditionalFormatting sqref="CR3:DA125 DD19 DD26 DD32 DD61 DD72 DD75 DD89 DS3:EB3 ED3 DS13:EB13 ED13">
    <cfRule type="cellIs" dxfId="963" priority="847" operator="equal">
      <formula>"network"</formula>
    </cfRule>
  </conditionalFormatting>
  <conditionalFormatting sqref="DF3:DO3">
    <cfRule type="cellIs" dxfId="962" priority="845" operator="equal">
      <formula>"user"</formula>
    </cfRule>
    <cfRule type="cellIs" dxfId="961" priority="846" operator="equal">
      <formula>"access"</formula>
    </cfRule>
  </conditionalFormatting>
  <conditionalFormatting sqref="DF3:DO3">
    <cfRule type="cellIs" dxfId="960" priority="844" operator="equal">
      <formula>"employee"</formula>
    </cfRule>
  </conditionalFormatting>
  <conditionalFormatting sqref="DF3:DO3">
    <cfRule type="cellIs" dxfId="959" priority="843" operator="equal">
      <formula>"secure"</formula>
    </cfRule>
  </conditionalFormatting>
  <conditionalFormatting sqref="DF3:DO3">
    <cfRule type="cellIs" dxfId="958" priority="842" operator="equal">
      <formula>"microsoft"</formula>
    </cfRule>
  </conditionalFormatting>
  <conditionalFormatting sqref="DF3:DO3">
    <cfRule type="cellIs" dxfId="957" priority="841" operator="equal">
      <formula>"network"</formula>
    </cfRule>
  </conditionalFormatting>
  <conditionalFormatting sqref="DE5">
    <cfRule type="cellIs" dxfId="956" priority="839" operator="equal">
      <formula>"user"</formula>
    </cfRule>
    <cfRule type="cellIs" dxfId="955" priority="840" operator="equal">
      <formula>"access"</formula>
    </cfRule>
  </conditionalFormatting>
  <conditionalFormatting sqref="DE5">
    <cfRule type="cellIs" dxfId="954" priority="838" operator="equal">
      <formula>"employee"</formula>
    </cfRule>
  </conditionalFormatting>
  <conditionalFormatting sqref="DE5">
    <cfRule type="cellIs" dxfId="953" priority="837" operator="equal">
      <formula>"secure"</formula>
    </cfRule>
  </conditionalFormatting>
  <conditionalFormatting sqref="DF6:DO7">
    <cfRule type="cellIs" dxfId="952" priority="835" operator="equal">
      <formula>"user"</formula>
    </cfRule>
    <cfRule type="cellIs" dxfId="951" priority="836" operator="equal">
      <formula>"access"</formula>
    </cfRule>
  </conditionalFormatting>
  <conditionalFormatting sqref="DF6:DO7">
    <cfRule type="cellIs" dxfId="950" priority="834" operator="equal">
      <formula>"employee"</formula>
    </cfRule>
  </conditionalFormatting>
  <conditionalFormatting sqref="DF6:DO7">
    <cfRule type="cellIs" dxfId="949" priority="833" operator="equal">
      <formula>"secure"</formula>
    </cfRule>
  </conditionalFormatting>
  <conditionalFormatting sqref="DF6:DO7">
    <cfRule type="cellIs" dxfId="948" priority="832" operator="equal">
      <formula>"microsoft"</formula>
    </cfRule>
  </conditionalFormatting>
  <conditionalFormatting sqref="DF10:DO17 DQ15">
    <cfRule type="cellIs" dxfId="947" priority="830" operator="equal">
      <formula>"user"</formula>
    </cfRule>
    <cfRule type="cellIs" dxfId="946" priority="831" operator="equal">
      <formula>"access"</formula>
    </cfRule>
  </conditionalFormatting>
  <conditionalFormatting sqref="DF10:DO17 DQ15">
    <cfRule type="cellIs" dxfId="945" priority="829" operator="equal">
      <formula>"employee"</formula>
    </cfRule>
  </conditionalFormatting>
  <conditionalFormatting sqref="DF10:DO17 DQ15">
    <cfRule type="cellIs" dxfId="944" priority="828" operator="equal">
      <formula>"secure"</formula>
    </cfRule>
  </conditionalFormatting>
  <conditionalFormatting sqref="DF9:DO17 DQ15">
    <cfRule type="cellIs" dxfId="943" priority="827" operator="equal">
      <formula>"microsoft"</formula>
    </cfRule>
  </conditionalFormatting>
  <conditionalFormatting sqref="DF5:DO17 DQ15">
    <cfRule type="cellIs" dxfId="942" priority="826" operator="equal">
      <formula>"network"</formula>
    </cfRule>
  </conditionalFormatting>
  <conditionalFormatting sqref="DF20:DO21">
    <cfRule type="cellIs" dxfId="941" priority="824" operator="equal">
      <formula>"user"</formula>
    </cfRule>
    <cfRule type="cellIs" dxfId="940" priority="825" operator="equal">
      <formula>"access"</formula>
    </cfRule>
  </conditionalFormatting>
  <conditionalFormatting sqref="DF20:DO21">
    <cfRule type="cellIs" dxfId="939" priority="823" operator="equal">
      <formula>"employee"</formula>
    </cfRule>
  </conditionalFormatting>
  <conditionalFormatting sqref="DF20:DO21">
    <cfRule type="cellIs" dxfId="938" priority="822" operator="equal">
      <formula>"secure"</formula>
    </cfRule>
  </conditionalFormatting>
  <conditionalFormatting sqref="DF20:DO21">
    <cfRule type="cellIs" dxfId="937" priority="821" operator="equal">
      <formula>"microsoft"</formula>
    </cfRule>
  </conditionalFormatting>
  <conditionalFormatting sqref="DF20:DO21">
    <cfRule type="cellIs" dxfId="936" priority="820" operator="equal">
      <formula>"network"</formula>
    </cfRule>
  </conditionalFormatting>
  <conditionalFormatting sqref="DF24:DO24">
    <cfRule type="cellIs" dxfId="935" priority="818" operator="equal">
      <formula>"user"</formula>
    </cfRule>
    <cfRule type="cellIs" dxfId="934" priority="819" operator="equal">
      <formula>"access"</formula>
    </cfRule>
  </conditionalFormatting>
  <conditionalFormatting sqref="DF24:DO24">
    <cfRule type="cellIs" dxfId="933" priority="817" operator="equal">
      <formula>"access"</formula>
    </cfRule>
  </conditionalFormatting>
  <conditionalFormatting sqref="DF24:DO24">
    <cfRule type="cellIs" dxfId="932" priority="815" operator="equal">
      <formula>"user"</formula>
    </cfRule>
    <cfRule type="cellIs" dxfId="931" priority="816" operator="equal">
      <formula>"access"</formula>
    </cfRule>
  </conditionalFormatting>
  <conditionalFormatting sqref="DF24:DO24">
    <cfRule type="cellIs" dxfId="930" priority="814" operator="equal">
      <formula>"employee"</formula>
    </cfRule>
  </conditionalFormatting>
  <conditionalFormatting sqref="DF24:DO24">
    <cfRule type="cellIs" dxfId="929" priority="813" operator="equal">
      <formula>"secure"</formula>
    </cfRule>
  </conditionalFormatting>
  <conditionalFormatting sqref="DF23:DO24">
    <cfRule type="cellIs" dxfId="928" priority="812" operator="equal">
      <formula>"microsoft"</formula>
    </cfRule>
  </conditionalFormatting>
  <conditionalFormatting sqref="DF23:DO24">
    <cfRule type="cellIs" dxfId="927" priority="811" operator="equal">
      <formula>"network"</formula>
    </cfRule>
  </conditionalFormatting>
  <conditionalFormatting sqref="DF27:DO30">
    <cfRule type="cellIs" dxfId="926" priority="809" operator="equal">
      <formula>"user"</formula>
    </cfRule>
    <cfRule type="cellIs" dxfId="925" priority="810" operator="equal">
      <formula>"access"</formula>
    </cfRule>
  </conditionalFormatting>
  <conditionalFormatting sqref="DF27:DO30">
    <cfRule type="cellIs" dxfId="924" priority="808" operator="equal">
      <formula>"employee"</formula>
    </cfRule>
  </conditionalFormatting>
  <conditionalFormatting sqref="DF26:DO30">
    <cfRule type="cellIs" dxfId="923" priority="807" operator="equal">
      <formula>"secure"</formula>
    </cfRule>
  </conditionalFormatting>
  <conditionalFormatting sqref="DF26:DO30">
    <cfRule type="cellIs" dxfId="922" priority="806" operator="equal">
      <formula>"microsoft"</formula>
    </cfRule>
  </conditionalFormatting>
  <conditionalFormatting sqref="DF26:DO30">
    <cfRule type="cellIs" dxfId="921" priority="805" operator="equal">
      <formula>"network"</formula>
    </cfRule>
  </conditionalFormatting>
  <conditionalFormatting sqref="DF33:DO48">
    <cfRule type="cellIs" dxfId="920" priority="803" operator="equal">
      <formula>"user"</formula>
    </cfRule>
    <cfRule type="cellIs" dxfId="919" priority="804" operator="equal">
      <formula>"access"</formula>
    </cfRule>
  </conditionalFormatting>
  <conditionalFormatting sqref="DF33:DO48">
    <cfRule type="cellIs" dxfId="918" priority="802" operator="equal">
      <formula>"access"</formula>
    </cfRule>
  </conditionalFormatting>
  <conditionalFormatting sqref="DF33:DO48">
    <cfRule type="cellIs" dxfId="917" priority="800" operator="equal">
      <formula>"user"</formula>
    </cfRule>
    <cfRule type="cellIs" dxfId="916" priority="801" operator="equal">
      <formula>"access"</formula>
    </cfRule>
  </conditionalFormatting>
  <conditionalFormatting sqref="DF33:DO48">
    <cfRule type="cellIs" dxfId="915" priority="799" operator="equal">
      <formula>"employee"</formula>
    </cfRule>
  </conditionalFormatting>
  <conditionalFormatting sqref="DF32:DO48">
    <cfRule type="cellIs" dxfId="914" priority="798" operator="equal">
      <formula>"secure"</formula>
    </cfRule>
  </conditionalFormatting>
  <conditionalFormatting sqref="DF32:DO48">
    <cfRule type="cellIs" dxfId="913" priority="797" operator="equal">
      <formula>"microsoft"</formula>
    </cfRule>
  </conditionalFormatting>
  <conditionalFormatting sqref="DF32:DO48">
    <cfRule type="cellIs" dxfId="912" priority="796" operator="equal">
      <formula>"network"</formula>
    </cfRule>
  </conditionalFormatting>
  <conditionalFormatting sqref="DF51:DO53">
    <cfRule type="cellIs" dxfId="911" priority="794" operator="equal">
      <formula>"user"</formula>
    </cfRule>
    <cfRule type="cellIs" dxfId="910" priority="795" operator="equal">
      <formula>"access"</formula>
    </cfRule>
  </conditionalFormatting>
  <conditionalFormatting sqref="DF51:DO53">
    <cfRule type="cellIs" dxfId="909" priority="793" operator="equal">
      <formula>"access"</formula>
    </cfRule>
  </conditionalFormatting>
  <conditionalFormatting sqref="DF51:DO53">
    <cfRule type="cellIs" dxfId="908" priority="791" operator="equal">
      <formula>"user"</formula>
    </cfRule>
    <cfRule type="cellIs" dxfId="907" priority="792" operator="equal">
      <formula>"access"</formula>
    </cfRule>
  </conditionalFormatting>
  <conditionalFormatting sqref="DF51:DO53">
    <cfRule type="cellIs" dxfId="906" priority="790" operator="equal">
      <formula>"employee"</formula>
    </cfRule>
  </conditionalFormatting>
  <conditionalFormatting sqref="DF51:DO53">
    <cfRule type="cellIs" dxfId="905" priority="789" operator="equal">
      <formula>"secure"</formula>
    </cfRule>
  </conditionalFormatting>
  <conditionalFormatting sqref="DF51:DO53">
    <cfRule type="cellIs" dxfId="904" priority="788" operator="equal">
      <formula>"microsoft"</formula>
    </cfRule>
  </conditionalFormatting>
  <conditionalFormatting sqref="DF51:DO53">
    <cfRule type="cellIs" dxfId="903" priority="787" operator="equal">
      <formula>"network"</formula>
    </cfRule>
  </conditionalFormatting>
  <conditionalFormatting sqref="DF56:DO56">
    <cfRule type="cellIs" dxfId="902" priority="785" operator="equal">
      <formula>"user"</formula>
    </cfRule>
    <cfRule type="cellIs" dxfId="901" priority="786" operator="equal">
      <formula>"access"</formula>
    </cfRule>
  </conditionalFormatting>
  <conditionalFormatting sqref="DF56:DO56">
    <cfRule type="cellIs" dxfId="900" priority="784" operator="equal">
      <formula>"employee"</formula>
    </cfRule>
  </conditionalFormatting>
  <conditionalFormatting sqref="DF56:DO56">
    <cfRule type="cellIs" dxfId="899" priority="783" operator="equal">
      <formula>"secure"</formula>
    </cfRule>
  </conditionalFormatting>
  <conditionalFormatting sqref="DF55:DO56">
    <cfRule type="cellIs" dxfId="898" priority="782" operator="equal">
      <formula>"microsoft"</formula>
    </cfRule>
  </conditionalFormatting>
  <conditionalFormatting sqref="DF55:DO56">
    <cfRule type="cellIs" dxfId="897" priority="781" operator="equal">
      <formula>"network"</formula>
    </cfRule>
  </conditionalFormatting>
  <conditionalFormatting sqref="DF59:DO59">
    <cfRule type="cellIs" dxfId="896" priority="779" operator="equal">
      <formula>"user"</formula>
    </cfRule>
    <cfRule type="cellIs" dxfId="895" priority="780" operator="equal">
      <formula>"access"</formula>
    </cfRule>
  </conditionalFormatting>
  <conditionalFormatting sqref="DF59:DO59">
    <cfRule type="cellIs" dxfId="894" priority="778" operator="equal">
      <formula>"employee"</formula>
    </cfRule>
  </conditionalFormatting>
  <conditionalFormatting sqref="DF59:DO59">
    <cfRule type="cellIs" dxfId="893" priority="777" operator="equal">
      <formula>"secure"</formula>
    </cfRule>
  </conditionalFormatting>
  <conditionalFormatting sqref="DF59:DO59">
    <cfRule type="cellIs" dxfId="892" priority="776" operator="equal">
      <formula>"microsoft"</formula>
    </cfRule>
  </conditionalFormatting>
  <conditionalFormatting sqref="DF59:DO59">
    <cfRule type="cellIs" dxfId="891" priority="775" operator="equal">
      <formula>"network"</formula>
    </cfRule>
  </conditionalFormatting>
  <conditionalFormatting sqref="DF62:DO63">
    <cfRule type="cellIs" dxfId="890" priority="773" operator="equal">
      <formula>"user"</formula>
    </cfRule>
    <cfRule type="cellIs" dxfId="889" priority="774" operator="equal">
      <formula>"access"</formula>
    </cfRule>
  </conditionalFormatting>
  <conditionalFormatting sqref="DF62:DO63">
    <cfRule type="cellIs" dxfId="888" priority="772" operator="equal">
      <formula>"access"</formula>
    </cfRule>
  </conditionalFormatting>
  <conditionalFormatting sqref="DF62:DO63">
    <cfRule type="cellIs" dxfId="887" priority="770" operator="equal">
      <formula>"user"</formula>
    </cfRule>
    <cfRule type="cellIs" dxfId="886" priority="771" operator="equal">
      <formula>"access"</formula>
    </cfRule>
  </conditionalFormatting>
  <conditionalFormatting sqref="DF62:DO63">
    <cfRule type="cellIs" dxfId="885" priority="769" operator="equal">
      <formula>"employee"</formula>
    </cfRule>
  </conditionalFormatting>
  <conditionalFormatting sqref="DF66:DO70">
    <cfRule type="cellIs" dxfId="884" priority="767" operator="equal">
      <formula>"user"</formula>
    </cfRule>
    <cfRule type="cellIs" dxfId="883" priority="768" operator="equal">
      <formula>"access"</formula>
    </cfRule>
  </conditionalFormatting>
  <conditionalFormatting sqref="DF65:DO70">
    <cfRule type="cellIs" dxfId="882" priority="766" operator="equal">
      <formula>"employee"</formula>
    </cfRule>
  </conditionalFormatting>
  <conditionalFormatting sqref="DF61:DO70">
    <cfRule type="cellIs" dxfId="881" priority="765" operator="equal">
      <formula>"secure"</formula>
    </cfRule>
  </conditionalFormatting>
  <conditionalFormatting sqref="DF61:DO70">
    <cfRule type="cellIs" dxfId="880" priority="764" operator="equal">
      <formula>"microsoft"</formula>
    </cfRule>
  </conditionalFormatting>
  <conditionalFormatting sqref="DF61:DO70">
    <cfRule type="cellIs" dxfId="879" priority="763" operator="equal">
      <formula>"network"</formula>
    </cfRule>
  </conditionalFormatting>
  <conditionalFormatting sqref="DF73:DO73">
    <cfRule type="cellIs" dxfId="878" priority="762" operator="equal">
      <formula>"access"</formula>
    </cfRule>
  </conditionalFormatting>
  <conditionalFormatting sqref="DF73:DO73">
    <cfRule type="cellIs" dxfId="877" priority="761" operator="equal">
      <formula>"employee"</formula>
    </cfRule>
  </conditionalFormatting>
  <conditionalFormatting sqref="DF73:DO73">
    <cfRule type="cellIs" dxfId="876" priority="760" operator="equal">
      <formula>"secure"</formula>
    </cfRule>
  </conditionalFormatting>
  <conditionalFormatting sqref="DF72:DO73">
    <cfRule type="cellIs" dxfId="875" priority="759" operator="equal">
      <formula>"microsoft"</formula>
    </cfRule>
  </conditionalFormatting>
  <conditionalFormatting sqref="DF72:DO73">
    <cfRule type="cellIs" dxfId="874" priority="758" operator="equal">
      <formula>"network"</formula>
    </cfRule>
  </conditionalFormatting>
  <conditionalFormatting sqref="DF76:DO76">
    <cfRule type="cellIs" dxfId="873" priority="757" operator="equal">
      <formula>"access"</formula>
    </cfRule>
  </conditionalFormatting>
  <conditionalFormatting sqref="DF76:DO76">
    <cfRule type="cellIs" dxfId="872" priority="756" operator="equal">
      <formula>"employee"</formula>
    </cfRule>
  </conditionalFormatting>
  <conditionalFormatting sqref="DF76:DO76">
    <cfRule type="cellIs" dxfId="871" priority="755" operator="equal">
      <formula>"secure"</formula>
    </cfRule>
  </conditionalFormatting>
  <conditionalFormatting sqref="DF76:DO76">
    <cfRule type="cellIs" dxfId="870" priority="754" operator="equal">
      <formula>"microsoft"</formula>
    </cfRule>
  </conditionalFormatting>
  <conditionalFormatting sqref="DF76:DO76">
    <cfRule type="cellIs" dxfId="869" priority="753" operator="equal">
      <formula>"network"</formula>
    </cfRule>
  </conditionalFormatting>
  <conditionalFormatting sqref="DF79:DO84">
    <cfRule type="cellIs" dxfId="868" priority="752" operator="equal">
      <formula>"access"</formula>
    </cfRule>
  </conditionalFormatting>
  <conditionalFormatting sqref="DF79:DO84">
    <cfRule type="cellIs" dxfId="867" priority="751" operator="equal">
      <formula>"employee"</formula>
    </cfRule>
  </conditionalFormatting>
  <conditionalFormatting sqref="DF78:DO84">
    <cfRule type="cellIs" dxfId="866" priority="750" operator="equal">
      <formula>"secure"</formula>
    </cfRule>
  </conditionalFormatting>
  <conditionalFormatting sqref="DF78:DO84">
    <cfRule type="cellIs" dxfId="865" priority="749" operator="equal">
      <formula>"microsoft"</formula>
    </cfRule>
  </conditionalFormatting>
  <conditionalFormatting sqref="DF78:DO84">
    <cfRule type="cellIs" dxfId="864" priority="748" operator="equal">
      <formula>"network"</formula>
    </cfRule>
  </conditionalFormatting>
  <conditionalFormatting sqref="DF87:DO87">
    <cfRule type="cellIs" dxfId="863" priority="747" operator="equal">
      <formula>"access"</formula>
    </cfRule>
  </conditionalFormatting>
  <conditionalFormatting sqref="DF87:DO87">
    <cfRule type="cellIs" dxfId="862" priority="746" operator="equal">
      <formula>"employee"</formula>
    </cfRule>
  </conditionalFormatting>
  <conditionalFormatting sqref="DF87:DO87">
    <cfRule type="cellIs" dxfId="861" priority="745" operator="equal">
      <formula>"secure"</formula>
    </cfRule>
  </conditionalFormatting>
  <conditionalFormatting sqref="DF87:DO87">
    <cfRule type="cellIs" dxfId="860" priority="744" operator="equal">
      <formula>"microsoft"</formula>
    </cfRule>
  </conditionalFormatting>
  <conditionalFormatting sqref="DF87:DO87">
    <cfRule type="cellIs" dxfId="859" priority="743" operator="equal">
      <formula>"network"</formula>
    </cfRule>
  </conditionalFormatting>
  <conditionalFormatting sqref="DF90:DO90">
    <cfRule type="cellIs" dxfId="858" priority="742" operator="equal">
      <formula>"access"</formula>
    </cfRule>
  </conditionalFormatting>
  <conditionalFormatting sqref="DF90:DO90">
    <cfRule type="cellIs" dxfId="857" priority="740" operator="equal">
      <formula>"user"</formula>
    </cfRule>
    <cfRule type="cellIs" dxfId="856" priority="741" operator="equal">
      <formula>"access"</formula>
    </cfRule>
  </conditionalFormatting>
  <conditionalFormatting sqref="DF90:DO90">
    <cfRule type="cellIs" dxfId="855" priority="739" operator="equal">
      <formula>"employee"</formula>
    </cfRule>
  </conditionalFormatting>
  <conditionalFormatting sqref="DF90:DO90">
    <cfRule type="cellIs" dxfId="854" priority="738" operator="equal">
      <formula>"secure"</formula>
    </cfRule>
  </conditionalFormatting>
  <conditionalFormatting sqref="DF89:DO90">
    <cfRule type="cellIs" dxfId="853" priority="737" operator="equal">
      <formula>"microsoft"</formula>
    </cfRule>
  </conditionalFormatting>
  <conditionalFormatting sqref="DF89:DO90">
    <cfRule type="cellIs" dxfId="852" priority="736" operator="equal">
      <formula>"network"</formula>
    </cfRule>
  </conditionalFormatting>
  <conditionalFormatting sqref="DF93:DO93">
    <cfRule type="cellIs" dxfId="851" priority="735" operator="equal">
      <formula>"access"</formula>
    </cfRule>
  </conditionalFormatting>
  <conditionalFormatting sqref="DF93:DO93">
    <cfRule type="cellIs" dxfId="850" priority="734" operator="equal">
      <formula>"employee"</formula>
    </cfRule>
  </conditionalFormatting>
  <conditionalFormatting sqref="DF92:DO93">
    <cfRule type="cellIs" dxfId="849" priority="733" operator="equal">
      <formula>"secure"</formula>
    </cfRule>
  </conditionalFormatting>
  <conditionalFormatting sqref="DF92:DO93">
    <cfRule type="cellIs" dxfId="848" priority="732" operator="equal">
      <formula>"microsoft"</formula>
    </cfRule>
  </conditionalFormatting>
  <conditionalFormatting sqref="DF92:DO93">
    <cfRule type="cellIs" dxfId="847" priority="731" operator="equal">
      <formula>"network"</formula>
    </cfRule>
  </conditionalFormatting>
  <conditionalFormatting sqref="DF96:DO97">
    <cfRule type="cellIs" dxfId="846" priority="730" operator="equal">
      <formula>"access"</formula>
    </cfRule>
  </conditionalFormatting>
  <conditionalFormatting sqref="DF96:DO97">
    <cfRule type="cellIs" dxfId="845" priority="729" operator="equal">
      <formula>"employee"</formula>
    </cfRule>
  </conditionalFormatting>
  <conditionalFormatting sqref="DF96:DO97">
    <cfRule type="cellIs" dxfId="844" priority="728" operator="equal">
      <formula>"secure"</formula>
    </cfRule>
  </conditionalFormatting>
  <conditionalFormatting sqref="DF96:DO97">
    <cfRule type="cellIs" dxfId="843" priority="727" operator="equal">
      <formula>"microsoft"</formula>
    </cfRule>
  </conditionalFormatting>
  <conditionalFormatting sqref="DF96:DO97">
    <cfRule type="cellIs" dxfId="842" priority="726" operator="equal">
      <formula>"network"</formula>
    </cfRule>
  </conditionalFormatting>
  <conditionalFormatting sqref="DF100:DO104">
    <cfRule type="cellIs" dxfId="841" priority="725" operator="equal">
      <formula>"access"</formula>
    </cfRule>
  </conditionalFormatting>
  <conditionalFormatting sqref="DF100:DO104">
    <cfRule type="cellIs" dxfId="840" priority="723" operator="equal">
      <formula>"user"</formula>
    </cfRule>
    <cfRule type="cellIs" dxfId="839" priority="724" operator="equal">
      <formula>"access"</formula>
    </cfRule>
  </conditionalFormatting>
  <conditionalFormatting sqref="DF100:DO104">
    <cfRule type="cellIs" dxfId="838" priority="722" operator="equal">
      <formula>"employee"</formula>
    </cfRule>
  </conditionalFormatting>
  <conditionalFormatting sqref="DF99:DO104">
    <cfRule type="cellIs" dxfId="837" priority="721" operator="equal">
      <formula>"secure"</formula>
    </cfRule>
  </conditionalFormatting>
  <conditionalFormatting sqref="DF99:DO104">
    <cfRule type="cellIs" dxfId="836" priority="720" operator="equal">
      <formula>"microsoft"</formula>
    </cfRule>
  </conditionalFormatting>
  <conditionalFormatting sqref="DF99:DO104">
    <cfRule type="cellIs" dxfId="835" priority="719" operator="equal">
      <formula>"network"</formula>
    </cfRule>
  </conditionalFormatting>
  <conditionalFormatting sqref="DF107:DO108">
    <cfRule type="cellIs" dxfId="834" priority="718" operator="equal">
      <formula>"access"</formula>
    </cfRule>
  </conditionalFormatting>
  <conditionalFormatting sqref="DF107:DO108">
    <cfRule type="cellIs" dxfId="833" priority="716" operator="equal">
      <formula>"user"</formula>
    </cfRule>
    <cfRule type="cellIs" dxfId="832" priority="717" operator="equal">
      <formula>"access"</formula>
    </cfRule>
  </conditionalFormatting>
  <conditionalFormatting sqref="DF107:DO108">
    <cfRule type="cellIs" dxfId="831" priority="715" operator="equal">
      <formula>"employee"</formula>
    </cfRule>
  </conditionalFormatting>
  <conditionalFormatting sqref="DF107:DO108">
    <cfRule type="cellIs" dxfId="830" priority="714" operator="equal">
      <formula>"secure"</formula>
    </cfRule>
  </conditionalFormatting>
  <conditionalFormatting sqref="DF107:DO108">
    <cfRule type="cellIs" dxfId="829" priority="713" operator="equal">
      <formula>"microsoft"</formula>
    </cfRule>
  </conditionalFormatting>
  <conditionalFormatting sqref="DF107:DO108">
    <cfRule type="cellIs" dxfId="828" priority="712" operator="equal">
      <formula>"network"</formula>
    </cfRule>
  </conditionalFormatting>
  <conditionalFormatting sqref="DF116:DO117">
    <cfRule type="cellIs" dxfId="827" priority="711" operator="equal">
      <formula>"access"</formula>
    </cfRule>
  </conditionalFormatting>
  <conditionalFormatting sqref="DF116:DO117">
    <cfRule type="cellIs" dxfId="826" priority="710" operator="equal">
      <formula>"access"</formula>
    </cfRule>
  </conditionalFormatting>
  <conditionalFormatting sqref="DF116:DO117">
    <cfRule type="cellIs" dxfId="825" priority="708" operator="equal">
      <formula>"user"</formula>
    </cfRule>
    <cfRule type="cellIs" dxfId="824" priority="709" operator="equal">
      <formula>"access"</formula>
    </cfRule>
  </conditionalFormatting>
  <conditionalFormatting sqref="DF116:DO117">
    <cfRule type="cellIs" dxfId="823" priority="707" operator="equal">
      <formula>"employee"</formula>
    </cfRule>
  </conditionalFormatting>
  <conditionalFormatting sqref="DF120:DO120">
    <cfRule type="cellIs" dxfId="822" priority="706" operator="equal">
      <formula>"access"</formula>
    </cfRule>
  </conditionalFormatting>
  <conditionalFormatting sqref="DF120:DO120">
    <cfRule type="cellIs" dxfId="821" priority="705" operator="equal">
      <formula>"access"</formula>
    </cfRule>
  </conditionalFormatting>
  <conditionalFormatting sqref="DF120:DO120">
    <cfRule type="cellIs" dxfId="820" priority="703" operator="equal">
      <formula>"user"</formula>
    </cfRule>
    <cfRule type="cellIs" dxfId="819" priority="704" operator="equal">
      <formula>"access"</formula>
    </cfRule>
  </conditionalFormatting>
  <conditionalFormatting sqref="DF120:DO120">
    <cfRule type="cellIs" dxfId="818" priority="702" operator="equal">
      <formula>"employee"</formula>
    </cfRule>
  </conditionalFormatting>
  <conditionalFormatting sqref="DF123:DO124">
    <cfRule type="cellIs" dxfId="817" priority="701" operator="equal">
      <formula>"access"</formula>
    </cfRule>
  </conditionalFormatting>
  <conditionalFormatting sqref="DF123:DO124">
    <cfRule type="cellIs" dxfId="816" priority="699" operator="equal">
      <formula>"user"</formula>
    </cfRule>
    <cfRule type="cellIs" dxfId="815" priority="700" operator="equal">
      <formula>"access"</formula>
    </cfRule>
  </conditionalFormatting>
  <conditionalFormatting sqref="DF123:DO124">
    <cfRule type="cellIs" dxfId="814" priority="698" operator="equal">
      <formula>"employee"</formula>
    </cfRule>
  </conditionalFormatting>
  <conditionalFormatting sqref="DF111:DO112">
    <cfRule type="cellIs" dxfId="813" priority="697" operator="equal">
      <formula>"access"</formula>
    </cfRule>
  </conditionalFormatting>
  <conditionalFormatting sqref="DF111:DO112">
    <cfRule type="cellIs" dxfId="812" priority="696" operator="equal">
      <formula>"user"</formula>
    </cfRule>
  </conditionalFormatting>
  <conditionalFormatting sqref="DF111:DO112">
    <cfRule type="cellIs" dxfId="811" priority="695" operator="equal">
      <formula>"employee"</formula>
    </cfRule>
  </conditionalFormatting>
  <conditionalFormatting sqref="DF113:DO113">
    <cfRule type="cellIs" dxfId="810" priority="694" operator="equal">
      <formula>"access"</formula>
    </cfRule>
  </conditionalFormatting>
  <conditionalFormatting sqref="DF113:DO113">
    <cfRule type="cellIs" dxfId="809" priority="693" operator="equal">
      <formula>"user"</formula>
    </cfRule>
  </conditionalFormatting>
  <conditionalFormatting sqref="DF113:DO113">
    <cfRule type="cellIs" dxfId="808" priority="692" operator="equal">
      <formula>"employee"</formula>
    </cfRule>
  </conditionalFormatting>
  <conditionalFormatting sqref="DF127:DO127">
    <cfRule type="cellIs" dxfId="807" priority="691" operator="equal">
      <formula>"access"</formula>
    </cfRule>
  </conditionalFormatting>
  <conditionalFormatting sqref="DF127:DO127">
    <cfRule type="cellIs" dxfId="806" priority="690" operator="equal">
      <formula>"user"</formula>
    </cfRule>
  </conditionalFormatting>
  <conditionalFormatting sqref="DF127:DO127">
    <cfRule type="cellIs" dxfId="805" priority="689" operator="equal">
      <formula>"employee"</formula>
    </cfRule>
  </conditionalFormatting>
  <conditionalFormatting sqref="DF130:DO133">
    <cfRule type="cellIs" dxfId="804" priority="687" operator="equal">
      <formula>"access"</formula>
    </cfRule>
    <cfRule type="cellIs" dxfId="803" priority="688" operator="equal">
      <formula>"user"</formula>
    </cfRule>
  </conditionalFormatting>
  <conditionalFormatting sqref="DF129:DO133">
    <cfRule type="cellIs" dxfId="802" priority="686" operator="equal">
      <formula>"employee"</formula>
    </cfRule>
  </conditionalFormatting>
  <conditionalFormatting sqref="DF110:DO133">
    <cfRule type="cellIs" dxfId="801" priority="685" operator="equal">
      <formula>"secure"</formula>
    </cfRule>
  </conditionalFormatting>
  <conditionalFormatting sqref="DF136:DO136">
    <cfRule type="cellIs" dxfId="800" priority="683" operator="equal">
      <formula>"access"</formula>
    </cfRule>
    <cfRule type="cellIs" dxfId="799" priority="684" operator="equal">
      <formula>"user"</formula>
    </cfRule>
  </conditionalFormatting>
  <conditionalFormatting sqref="DF136:DO136">
    <cfRule type="cellIs" dxfId="798" priority="682" operator="equal">
      <formula>"employee"</formula>
    </cfRule>
  </conditionalFormatting>
  <conditionalFormatting sqref="DF136:DO136">
    <cfRule type="cellIs" dxfId="797" priority="681" operator="equal">
      <formula>"secure"</formula>
    </cfRule>
  </conditionalFormatting>
  <conditionalFormatting sqref="DF110:DO136">
    <cfRule type="cellIs" dxfId="796" priority="680" operator="equal">
      <formula>"microsoft"</formula>
    </cfRule>
  </conditionalFormatting>
  <conditionalFormatting sqref="DF110:DO136">
    <cfRule type="cellIs" dxfId="795" priority="679" operator="equal">
      <formula>"network"</formula>
    </cfRule>
  </conditionalFormatting>
  <conditionalFormatting sqref="DF3:DO136 DQ15 DS13:EB13 ED13">
    <cfRule type="cellIs" dxfId="794" priority="678" operator="equal">
      <formula>"server"</formula>
    </cfRule>
  </conditionalFormatting>
  <conditionalFormatting sqref="DS3:EB11 ED3:ED4 EC4:EC5">
    <cfRule type="cellIs" dxfId="793" priority="671" operator="equal">
      <formula>"server"</formula>
    </cfRule>
  </conditionalFormatting>
  <conditionalFormatting sqref="DS4:EB11 EC4:ED4 EC5">
    <cfRule type="cellIs" dxfId="792" priority="665" operator="equal">
      <formula>"network"</formula>
    </cfRule>
  </conditionalFormatting>
  <conditionalFormatting sqref="DS5:EB11 EC5">
    <cfRule type="cellIs" dxfId="791" priority="663" operator="equal">
      <formula>"user"</formula>
    </cfRule>
    <cfRule type="cellIs" dxfId="790" priority="664" operator="equal">
      <formula>"access"</formula>
    </cfRule>
  </conditionalFormatting>
  <conditionalFormatting sqref="DS5:EB11 EC5">
    <cfRule type="cellIs" dxfId="789" priority="662" operator="equal">
      <formula>"employee"</formula>
    </cfRule>
  </conditionalFormatting>
  <conditionalFormatting sqref="DS5:EB11 EC5">
    <cfRule type="cellIs" dxfId="788" priority="661" operator="equal">
      <formula>"secure"</formula>
    </cfRule>
  </conditionalFormatting>
  <conditionalFormatting sqref="DS5:EB11 EC5">
    <cfRule type="cellIs" dxfId="787" priority="660" operator="equal">
      <formula>"microsoft"</formula>
    </cfRule>
  </conditionalFormatting>
  <conditionalFormatting sqref="DS15:EB15">
    <cfRule type="cellIs" dxfId="786" priority="658" operator="equal">
      <formula>"user"</formula>
    </cfRule>
    <cfRule type="cellIs" dxfId="785" priority="659" operator="equal">
      <formula>"access"</formula>
    </cfRule>
  </conditionalFormatting>
  <conditionalFormatting sqref="DS15:EB15">
    <cfRule type="cellIs" dxfId="784" priority="657" operator="equal">
      <formula>"employee"</formula>
    </cfRule>
  </conditionalFormatting>
  <conditionalFormatting sqref="DS15:EB15">
    <cfRule type="cellIs" dxfId="783" priority="656" operator="equal">
      <formula>"secure"</formula>
    </cfRule>
  </conditionalFormatting>
  <conditionalFormatting sqref="DS15:EB15">
    <cfRule type="cellIs" dxfId="782" priority="655" operator="equal">
      <formula>"microsoft"</formula>
    </cfRule>
  </conditionalFormatting>
  <conditionalFormatting sqref="DS15:EB16">
    <cfRule type="cellIs" dxfId="781" priority="654" operator="equal">
      <formula>"network"</formula>
    </cfRule>
  </conditionalFormatting>
  <conditionalFormatting sqref="DS15:EB18">
    <cfRule type="cellIs" dxfId="780" priority="653" operator="equal">
      <formula>"server"</formula>
    </cfRule>
  </conditionalFormatting>
  <conditionalFormatting sqref="DS16:EB16">
    <cfRule type="cellIs" dxfId="779" priority="651" operator="equal">
      <formula>"user"</formula>
    </cfRule>
    <cfRule type="cellIs" dxfId="778" priority="652" operator="equal">
      <formula>"access"</formula>
    </cfRule>
  </conditionalFormatting>
  <conditionalFormatting sqref="DS16:EB16">
    <cfRule type="cellIs" dxfId="777" priority="650" operator="equal">
      <formula>"employee"</formula>
    </cfRule>
  </conditionalFormatting>
  <conditionalFormatting sqref="DS16:EB16">
    <cfRule type="cellIs" dxfId="776" priority="649" operator="equal">
      <formula>"secure"</formula>
    </cfRule>
  </conditionalFormatting>
  <conditionalFormatting sqref="DS16:EB16">
    <cfRule type="cellIs" dxfId="775" priority="648" operator="equal">
      <formula>"microsoft"</formula>
    </cfRule>
  </conditionalFormatting>
  <conditionalFormatting sqref="DS17:EB18">
    <cfRule type="cellIs" dxfId="774" priority="646" operator="equal">
      <formula>"user"</formula>
    </cfRule>
    <cfRule type="cellIs" dxfId="773" priority="647" operator="equal">
      <formula>"access"</formula>
    </cfRule>
  </conditionalFormatting>
  <conditionalFormatting sqref="DS17:EB18">
    <cfRule type="cellIs" dxfId="772" priority="645" operator="equal">
      <formula>"employee"</formula>
    </cfRule>
  </conditionalFormatting>
  <conditionalFormatting sqref="DS17:EB18">
    <cfRule type="cellIs" dxfId="771" priority="644" operator="equal">
      <formula>"secure"</formula>
    </cfRule>
  </conditionalFormatting>
  <conditionalFormatting sqref="DS17:EB18">
    <cfRule type="cellIs" dxfId="770" priority="643" operator="equal">
      <formula>"microsoft"</formula>
    </cfRule>
  </conditionalFormatting>
  <conditionalFormatting sqref="DS17:EB18">
    <cfRule type="cellIs" dxfId="769" priority="642" operator="equal">
      <formula>"network"</formula>
    </cfRule>
  </conditionalFormatting>
  <conditionalFormatting sqref="DS19:EB22">
    <cfRule type="cellIs" dxfId="768" priority="640" operator="equal">
      <formula>"user"</formula>
    </cfRule>
    <cfRule type="cellIs" dxfId="767" priority="641" operator="equal">
      <formula>"access"</formula>
    </cfRule>
  </conditionalFormatting>
  <conditionalFormatting sqref="DS19:EB22">
    <cfRule type="cellIs" dxfId="766" priority="639" operator="equal">
      <formula>"employee"</formula>
    </cfRule>
  </conditionalFormatting>
  <conditionalFormatting sqref="DS19:EB22">
    <cfRule type="cellIs" dxfId="765" priority="638" operator="equal">
      <formula>"secure"</formula>
    </cfRule>
  </conditionalFormatting>
  <conditionalFormatting sqref="DS19:EB22">
    <cfRule type="cellIs" dxfId="764" priority="637" operator="equal">
      <formula>"microsoft"</formula>
    </cfRule>
  </conditionalFormatting>
  <conditionalFormatting sqref="DS19:EB22">
    <cfRule type="cellIs" dxfId="763" priority="636" operator="equal">
      <formula>"network"</formula>
    </cfRule>
  </conditionalFormatting>
  <conditionalFormatting sqref="DS19:EB22">
    <cfRule type="cellIs" dxfId="762" priority="635" operator="equal">
      <formula>"server"</formula>
    </cfRule>
  </conditionalFormatting>
  <conditionalFormatting sqref="DS12:EB12">
    <cfRule type="cellIs" dxfId="761" priority="618" operator="equal">
      <formula>"server"</formula>
    </cfRule>
  </conditionalFormatting>
  <conditionalFormatting sqref="DS23:EB37">
    <cfRule type="cellIs" dxfId="760" priority="633" operator="equal">
      <formula>"user"</formula>
    </cfRule>
    <cfRule type="cellIs" dxfId="759" priority="634" operator="equal">
      <formula>"access"</formula>
    </cfRule>
  </conditionalFormatting>
  <conditionalFormatting sqref="DS23:EB37">
    <cfRule type="cellIs" dxfId="758" priority="632" operator="equal">
      <formula>"access"</formula>
    </cfRule>
  </conditionalFormatting>
  <conditionalFormatting sqref="DS23:EB37">
    <cfRule type="cellIs" dxfId="757" priority="630" operator="equal">
      <formula>"user"</formula>
    </cfRule>
    <cfRule type="cellIs" dxfId="756" priority="631" operator="equal">
      <formula>"access"</formula>
    </cfRule>
  </conditionalFormatting>
  <conditionalFormatting sqref="DS23:EB37">
    <cfRule type="cellIs" dxfId="755" priority="629" operator="equal">
      <formula>"employee"</formula>
    </cfRule>
  </conditionalFormatting>
  <conditionalFormatting sqref="DS23:EB37">
    <cfRule type="cellIs" dxfId="754" priority="628" operator="equal">
      <formula>"secure"</formula>
    </cfRule>
  </conditionalFormatting>
  <conditionalFormatting sqref="DS23:EB37">
    <cfRule type="cellIs" dxfId="753" priority="627" operator="equal">
      <formula>"microsoft"</formula>
    </cfRule>
  </conditionalFormatting>
  <conditionalFormatting sqref="DS23:EB37">
    <cfRule type="cellIs" dxfId="752" priority="626" operator="equal">
      <formula>"network"</formula>
    </cfRule>
  </conditionalFormatting>
  <conditionalFormatting sqref="DS23:EB37">
    <cfRule type="cellIs" dxfId="751" priority="625" operator="equal">
      <formula>"server"</formula>
    </cfRule>
  </conditionalFormatting>
  <conditionalFormatting sqref="DS12:EB12">
    <cfRule type="cellIs" dxfId="750" priority="623" operator="equal">
      <formula>"user"</formula>
    </cfRule>
    <cfRule type="cellIs" dxfId="749" priority="624" operator="equal">
      <formula>"access"</formula>
    </cfRule>
  </conditionalFormatting>
  <conditionalFormatting sqref="DS12:EB12">
    <cfRule type="cellIs" dxfId="748" priority="622" operator="equal">
      <formula>"employee"</formula>
    </cfRule>
  </conditionalFormatting>
  <conditionalFormatting sqref="DS12:EB12">
    <cfRule type="cellIs" dxfId="747" priority="621" operator="equal">
      <formula>"secure"</formula>
    </cfRule>
  </conditionalFormatting>
  <conditionalFormatting sqref="DS12:EB12">
    <cfRule type="cellIs" dxfId="746" priority="620" operator="equal">
      <formula>"microsoft"</formula>
    </cfRule>
  </conditionalFormatting>
  <conditionalFormatting sqref="DS12:EB12">
    <cfRule type="cellIs" dxfId="745" priority="619" operator="equal">
      <formula>"network"</formula>
    </cfRule>
  </conditionalFormatting>
  <conditionalFormatting sqref="DS45:EB49">
    <cfRule type="cellIs" dxfId="744" priority="586" operator="equal">
      <formula>"server"</formula>
    </cfRule>
  </conditionalFormatting>
  <conditionalFormatting sqref="DS38:EB38">
    <cfRule type="cellIs" dxfId="743" priority="616" operator="equal">
      <formula>"user"</formula>
    </cfRule>
    <cfRule type="cellIs" dxfId="742" priority="617" operator="equal">
      <formula>"access"</formula>
    </cfRule>
  </conditionalFormatting>
  <conditionalFormatting sqref="DS38:EB38">
    <cfRule type="cellIs" dxfId="741" priority="615" operator="equal">
      <formula>"employee"</formula>
    </cfRule>
  </conditionalFormatting>
  <conditionalFormatting sqref="DS38:EB38">
    <cfRule type="cellIs" dxfId="740" priority="614" operator="equal">
      <formula>"secure"</formula>
    </cfRule>
  </conditionalFormatting>
  <conditionalFormatting sqref="DS38:EB38">
    <cfRule type="cellIs" dxfId="739" priority="613" operator="equal">
      <formula>"microsoft"</formula>
    </cfRule>
  </conditionalFormatting>
  <conditionalFormatting sqref="DS38:EB38">
    <cfRule type="cellIs" dxfId="738" priority="612" operator="equal">
      <formula>"network"</formula>
    </cfRule>
  </conditionalFormatting>
  <conditionalFormatting sqref="DS38:EB38">
    <cfRule type="cellIs" dxfId="737" priority="611" operator="equal">
      <formula>"server"</formula>
    </cfRule>
  </conditionalFormatting>
  <conditionalFormatting sqref="DS39:EB43">
    <cfRule type="cellIs" dxfId="736" priority="609" operator="equal">
      <formula>"user"</formula>
    </cfRule>
    <cfRule type="cellIs" dxfId="735" priority="610" operator="equal">
      <formula>"access"</formula>
    </cfRule>
  </conditionalFormatting>
  <conditionalFormatting sqref="DS39:EB43">
    <cfRule type="cellIs" dxfId="734" priority="608" operator="equal">
      <formula>"employee"</formula>
    </cfRule>
  </conditionalFormatting>
  <conditionalFormatting sqref="DS39:EB43">
    <cfRule type="cellIs" dxfId="733" priority="607" operator="equal">
      <formula>"secure"</formula>
    </cfRule>
  </conditionalFormatting>
  <conditionalFormatting sqref="DS39:EB43">
    <cfRule type="cellIs" dxfId="732" priority="606" operator="equal">
      <formula>"microsoft"</formula>
    </cfRule>
  </conditionalFormatting>
  <conditionalFormatting sqref="DS39:EB43">
    <cfRule type="cellIs" dxfId="731" priority="605" operator="equal">
      <formula>"network"</formula>
    </cfRule>
  </conditionalFormatting>
  <conditionalFormatting sqref="DS39:EB43">
    <cfRule type="cellIs" dxfId="730" priority="604" operator="equal">
      <formula>"server"</formula>
    </cfRule>
  </conditionalFormatting>
  <conditionalFormatting sqref="DS44:EB44">
    <cfRule type="cellIs" dxfId="729" priority="597" operator="equal">
      <formula>"access"</formula>
    </cfRule>
  </conditionalFormatting>
  <conditionalFormatting sqref="DS44:EB44">
    <cfRule type="cellIs" dxfId="728" priority="596" operator="equal">
      <formula>"employee"</formula>
    </cfRule>
  </conditionalFormatting>
  <conditionalFormatting sqref="DS44:EB44">
    <cfRule type="cellIs" dxfId="727" priority="595" operator="equal">
      <formula>"secure"</formula>
    </cfRule>
  </conditionalFormatting>
  <conditionalFormatting sqref="DS44:EB44">
    <cfRule type="cellIs" dxfId="726" priority="594" operator="equal">
      <formula>"microsoft"</formula>
    </cfRule>
  </conditionalFormatting>
  <conditionalFormatting sqref="DS44:EB44">
    <cfRule type="cellIs" dxfId="725" priority="593" operator="equal">
      <formula>"network"</formula>
    </cfRule>
  </conditionalFormatting>
  <conditionalFormatting sqref="DS44:EB44">
    <cfRule type="cellIs" dxfId="724" priority="592" operator="equal">
      <formula>"server"</formula>
    </cfRule>
  </conditionalFormatting>
  <conditionalFormatting sqref="DS45:EB49">
    <cfRule type="cellIs" dxfId="723" priority="591" operator="equal">
      <formula>"access"</formula>
    </cfRule>
  </conditionalFormatting>
  <conditionalFormatting sqref="DS45:EB49">
    <cfRule type="cellIs" dxfId="722" priority="590" operator="equal">
      <formula>"employee"</formula>
    </cfRule>
  </conditionalFormatting>
  <conditionalFormatting sqref="DS45:EB49">
    <cfRule type="cellIs" dxfId="721" priority="589" operator="equal">
      <formula>"secure"</formula>
    </cfRule>
  </conditionalFormatting>
  <conditionalFormatting sqref="DS45:EB49">
    <cfRule type="cellIs" dxfId="720" priority="588" operator="equal">
      <formula>"microsoft"</formula>
    </cfRule>
  </conditionalFormatting>
  <conditionalFormatting sqref="DS45:EB49">
    <cfRule type="cellIs" dxfId="719" priority="587" operator="equal">
      <formula>"network"</formula>
    </cfRule>
  </conditionalFormatting>
  <conditionalFormatting sqref="DS3:EB49 ED13 ED3:ED4 EC4:EC5">
    <cfRule type="cellIs" dxfId="718" priority="585" operator="equal">
      <formula>"addition"</formula>
    </cfRule>
  </conditionalFormatting>
  <conditionalFormatting sqref="EF3:EO3 EQ3">
    <cfRule type="cellIs" dxfId="717" priority="583" operator="equal">
      <formula>"user"</formula>
    </cfRule>
    <cfRule type="cellIs" dxfId="716" priority="584" operator="equal">
      <formula>"access"</formula>
    </cfRule>
  </conditionalFormatting>
  <conditionalFormatting sqref="EF3:EO3 EQ3">
    <cfRule type="cellIs" dxfId="715" priority="582" operator="equal">
      <formula>"employee"</formula>
    </cfRule>
  </conditionalFormatting>
  <conditionalFormatting sqref="EF3:EO3 EQ3">
    <cfRule type="cellIs" dxfId="714" priority="581" operator="equal">
      <formula>"secure"</formula>
    </cfRule>
  </conditionalFormatting>
  <conditionalFormatting sqref="EF3:EO3 EQ3">
    <cfRule type="cellIs" dxfId="713" priority="580" operator="equal">
      <formula>"microsoft"</formula>
    </cfRule>
  </conditionalFormatting>
  <conditionalFormatting sqref="EF3:EO3 EQ3">
    <cfRule type="cellIs" dxfId="712" priority="579" operator="equal">
      <formula>"network"</formula>
    </cfRule>
  </conditionalFormatting>
  <conditionalFormatting sqref="EF3:EO9 EQ3:EQ4 EP5">
    <cfRule type="cellIs" dxfId="711" priority="578" operator="equal">
      <formula>"server"</formula>
    </cfRule>
  </conditionalFormatting>
  <conditionalFormatting sqref="EF4:EO4 EQ4">
    <cfRule type="cellIs" dxfId="710" priority="576" operator="equal">
      <formula>"user"</formula>
    </cfRule>
    <cfRule type="cellIs" dxfId="709" priority="577" operator="equal">
      <formula>"access"</formula>
    </cfRule>
  </conditionalFormatting>
  <conditionalFormatting sqref="EF4:EO4 EQ4">
    <cfRule type="cellIs" dxfId="708" priority="575" operator="equal">
      <formula>"employee"</formula>
    </cfRule>
  </conditionalFormatting>
  <conditionalFormatting sqref="EF4:EO4 EQ4">
    <cfRule type="cellIs" dxfId="707" priority="574" operator="equal">
      <formula>"secure"</formula>
    </cfRule>
  </conditionalFormatting>
  <conditionalFormatting sqref="EF4:EO4 EQ4">
    <cfRule type="cellIs" dxfId="706" priority="573" operator="equal">
      <formula>"microsoft"</formula>
    </cfRule>
  </conditionalFormatting>
  <conditionalFormatting sqref="EF4:EO9 EQ4 EP5">
    <cfRule type="cellIs" dxfId="705" priority="572" operator="equal">
      <formula>"network"</formula>
    </cfRule>
  </conditionalFormatting>
  <conditionalFormatting sqref="EF3:EO10 EQ3:EQ4 EP5">
    <cfRule type="cellIs" dxfId="704" priority="571" operator="equal">
      <formula>"addition"</formula>
    </cfRule>
  </conditionalFormatting>
  <conditionalFormatting sqref="EF5:EO9 EP5">
    <cfRule type="cellIs" dxfId="703" priority="569" operator="equal">
      <formula>"user"</formula>
    </cfRule>
    <cfRule type="cellIs" dxfId="702" priority="570" operator="equal">
      <formula>"access"</formula>
    </cfRule>
  </conditionalFormatting>
  <conditionalFormatting sqref="EF5:EO9 EP5">
    <cfRule type="cellIs" dxfId="701" priority="568" operator="equal">
      <formula>"employee"</formula>
    </cfRule>
  </conditionalFormatting>
  <conditionalFormatting sqref="EF5:EO9 EP5">
    <cfRule type="cellIs" dxfId="700" priority="567" operator="equal">
      <formula>"secure"</formula>
    </cfRule>
  </conditionalFormatting>
  <conditionalFormatting sqref="EF5:EO9 EP5">
    <cfRule type="cellIs" dxfId="699" priority="566" operator="equal">
      <formula>"microsoft"</formula>
    </cfRule>
  </conditionalFormatting>
  <conditionalFormatting sqref="EF10:EO10">
    <cfRule type="cellIs" dxfId="698" priority="559" operator="equal">
      <formula>"server"</formula>
    </cfRule>
  </conditionalFormatting>
  <conditionalFormatting sqref="EF10:EO10">
    <cfRule type="cellIs" dxfId="697" priority="564" operator="equal">
      <formula>"user"</formula>
    </cfRule>
    <cfRule type="cellIs" dxfId="696" priority="565" operator="equal">
      <formula>"access"</formula>
    </cfRule>
  </conditionalFormatting>
  <conditionalFormatting sqref="EF10:EO10">
    <cfRule type="cellIs" dxfId="695" priority="563" operator="equal">
      <formula>"employee"</formula>
    </cfRule>
  </conditionalFormatting>
  <conditionalFormatting sqref="EF10:EO10">
    <cfRule type="cellIs" dxfId="694" priority="562" operator="equal">
      <formula>"secure"</formula>
    </cfRule>
  </conditionalFormatting>
  <conditionalFormatting sqref="EF10:EO10">
    <cfRule type="cellIs" dxfId="693" priority="561" operator="equal">
      <formula>"microsoft"</formula>
    </cfRule>
  </conditionalFormatting>
  <conditionalFormatting sqref="EF10:EO10">
    <cfRule type="cellIs" dxfId="692" priority="560" operator="equal">
      <formula>"network"</formula>
    </cfRule>
  </conditionalFormatting>
  <conditionalFormatting sqref="EF13:EO14">
    <cfRule type="cellIs" dxfId="691" priority="558" operator="equal">
      <formula>"server"</formula>
    </cfRule>
  </conditionalFormatting>
  <conditionalFormatting sqref="EF13:EO14">
    <cfRule type="cellIs" dxfId="690" priority="557" operator="equal">
      <formula>"network"</formula>
    </cfRule>
  </conditionalFormatting>
  <conditionalFormatting sqref="EF13:EO14">
    <cfRule type="cellIs" dxfId="689" priority="555" operator="equal">
      <formula>"user"</formula>
    </cfRule>
    <cfRule type="cellIs" dxfId="688" priority="556" operator="equal">
      <formula>"access"</formula>
    </cfRule>
  </conditionalFormatting>
  <conditionalFormatting sqref="EF13:EO14">
    <cfRule type="cellIs" dxfId="687" priority="554" operator="equal">
      <formula>"employee"</formula>
    </cfRule>
  </conditionalFormatting>
  <conditionalFormatting sqref="EF13:EO14">
    <cfRule type="cellIs" dxfId="686" priority="553" operator="equal">
      <formula>"secure"</formula>
    </cfRule>
  </conditionalFormatting>
  <conditionalFormatting sqref="EF13:EO14">
    <cfRule type="cellIs" dxfId="685" priority="552" operator="equal">
      <formula>"microsoft"</formula>
    </cfRule>
  </conditionalFormatting>
  <conditionalFormatting sqref="EF13:EO46">
    <cfRule type="cellIs" dxfId="684" priority="551" operator="equal">
      <formula>"addition"</formula>
    </cfRule>
  </conditionalFormatting>
  <conditionalFormatting sqref="EF15:EO15">
    <cfRule type="cellIs" dxfId="683" priority="550" operator="equal">
      <formula>"access"</formula>
    </cfRule>
  </conditionalFormatting>
  <conditionalFormatting sqref="EF15:EO15">
    <cfRule type="cellIs" dxfId="682" priority="549" operator="equal">
      <formula>"employee"</formula>
    </cfRule>
  </conditionalFormatting>
  <conditionalFormatting sqref="EF15:EO15">
    <cfRule type="cellIs" dxfId="681" priority="548" operator="equal">
      <formula>"secure"</formula>
    </cfRule>
  </conditionalFormatting>
  <conditionalFormatting sqref="EF15:EO15">
    <cfRule type="cellIs" dxfId="680" priority="547" operator="equal">
      <formula>"microsoft"</formula>
    </cfRule>
  </conditionalFormatting>
  <conditionalFormatting sqref="EF15:EO15">
    <cfRule type="cellIs" dxfId="679" priority="546" operator="equal">
      <formula>"network"</formula>
    </cfRule>
  </conditionalFormatting>
  <conditionalFormatting sqref="EF15:EO15">
    <cfRule type="cellIs" dxfId="678" priority="545" operator="equal">
      <formula>"server"</formula>
    </cfRule>
  </conditionalFormatting>
  <conditionalFormatting sqref="EF16:EO16">
    <cfRule type="cellIs" dxfId="677" priority="543" operator="equal">
      <formula>"user"</formula>
    </cfRule>
    <cfRule type="cellIs" dxfId="676" priority="544" operator="equal">
      <formula>"access"</formula>
    </cfRule>
  </conditionalFormatting>
  <conditionalFormatting sqref="EF16:EO16">
    <cfRule type="cellIs" dxfId="675" priority="542" operator="equal">
      <formula>"employee"</formula>
    </cfRule>
  </conditionalFormatting>
  <conditionalFormatting sqref="EF16:EO16">
    <cfRule type="cellIs" dxfId="674" priority="541" operator="equal">
      <formula>"secure"</formula>
    </cfRule>
  </conditionalFormatting>
  <conditionalFormatting sqref="EF16:EO16">
    <cfRule type="cellIs" dxfId="673" priority="540" operator="equal">
      <formula>"microsoft"</formula>
    </cfRule>
  </conditionalFormatting>
  <conditionalFormatting sqref="EF16:EO16">
    <cfRule type="cellIs" dxfId="672" priority="539" operator="equal">
      <formula>"network"</formula>
    </cfRule>
  </conditionalFormatting>
  <conditionalFormatting sqref="EF16:EO18">
    <cfRule type="cellIs" dxfId="671" priority="538" operator="equal">
      <formula>"server"</formula>
    </cfRule>
  </conditionalFormatting>
  <conditionalFormatting sqref="EF17:EO18">
    <cfRule type="cellIs" dxfId="670" priority="536" operator="equal">
      <formula>"user"</formula>
    </cfRule>
    <cfRule type="cellIs" dxfId="669" priority="537" operator="equal">
      <formula>"access"</formula>
    </cfRule>
  </conditionalFormatting>
  <conditionalFormatting sqref="EF17:EO18">
    <cfRule type="cellIs" dxfId="668" priority="535" operator="equal">
      <formula>"employee"</formula>
    </cfRule>
  </conditionalFormatting>
  <conditionalFormatting sqref="EF17:EO18">
    <cfRule type="cellIs" dxfId="667" priority="534" operator="equal">
      <formula>"secure"</formula>
    </cfRule>
  </conditionalFormatting>
  <conditionalFormatting sqref="EF17:EO18">
    <cfRule type="cellIs" dxfId="666" priority="533" operator="equal">
      <formula>"microsoft"</formula>
    </cfRule>
  </conditionalFormatting>
  <conditionalFormatting sqref="EF17:EO18">
    <cfRule type="cellIs" dxfId="665" priority="532" operator="equal">
      <formula>"network"</formula>
    </cfRule>
  </conditionalFormatting>
  <conditionalFormatting sqref="EF19:EO21">
    <cfRule type="cellIs" dxfId="664" priority="530" operator="equal">
      <formula>"user"</formula>
    </cfRule>
    <cfRule type="cellIs" dxfId="663" priority="531" operator="equal">
      <formula>"access"</formula>
    </cfRule>
  </conditionalFormatting>
  <conditionalFormatting sqref="EF19:EO21">
    <cfRule type="cellIs" dxfId="662" priority="529" operator="equal">
      <formula>"employee"</formula>
    </cfRule>
  </conditionalFormatting>
  <conditionalFormatting sqref="EF19:EO21">
    <cfRule type="cellIs" dxfId="661" priority="528" operator="equal">
      <formula>"secure"</formula>
    </cfRule>
  </conditionalFormatting>
  <conditionalFormatting sqref="EF19:EO21">
    <cfRule type="cellIs" dxfId="660" priority="527" operator="equal">
      <formula>"microsoft"</formula>
    </cfRule>
  </conditionalFormatting>
  <conditionalFormatting sqref="EF19:EO21">
    <cfRule type="cellIs" dxfId="659" priority="526" operator="equal">
      <formula>"network"</formula>
    </cfRule>
  </conditionalFormatting>
  <conditionalFormatting sqref="EF19:EO21">
    <cfRule type="cellIs" dxfId="658" priority="525" operator="equal">
      <formula>"server"</formula>
    </cfRule>
  </conditionalFormatting>
  <conditionalFormatting sqref="EF22:EO35">
    <cfRule type="cellIs" dxfId="657" priority="523" operator="equal">
      <formula>"user"</formula>
    </cfRule>
    <cfRule type="cellIs" dxfId="656" priority="524" operator="equal">
      <formula>"access"</formula>
    </cfRule>
  </conditionalFormatting>
  <conditionalFormatting sqref="EF22:EO35">
    <cfRule type="cellIs" dxfId="655" priority="522" operator="equal">
      <formula>"access"</formula>
    </cfRule>
  </conditionalFormatting>
  <conditionalFormatting sqref="EF22:EO35">
    <cfRule type="cellIs" dxfId="654" priority="520" operator="equal">
      <formula>"user"</formula>
    </cfRule>
    <cfRule type="cellIs" dxfId="653" priority="521" operator="equal">
      <formula>"access"</formula>
    </cfRule>
  </conditionalFormatting>
  <conditionalFormatting sqref="EF22:EO35">
    <cfRule type="cellIs" dxfId="652" priority="519" operator="equal">
      <formula>"employee"</formula>
    </cfRule>
  </conditionalFormatting>
  <conditionalFormatting sqref="EF22:EO35">
    <cfRule type="cellIs" dxfId="651" priority="518" operator="equal">
      <formula>"secure"</formula>
    </cfRule>
  </conditionalFormatting>
  <conditionalFormatting sqref="EF22:EO35">
    <cfRule type="cellIs" dxfId="650" priority="517" operator="equal">
      <formula>"microsoft"</formula>
    </cfRule>
  </conditionalFormatting>
  <conditionalFormatting sqref="EF22:EO35">
    <cfRule type="cellIs" dxfId="649" priority="516" operator="equal">
      <formula>"network"</formula>
    </cfRule>
  </conditionalFormatting>
  <conditionalFormatting sqref="EF22:EO35">
    <cfRule type="cellIs" dxfId="648" priority="515" operator="equal">
      <formula>"server"</formula>
    </cfRule>
  </conditionalFormatting>
  <conditionalFormatting sqref="EF36:EO36">
    <cfRule type="cellIs" dxfId="647" priority="513" operator="equal">
      <formula>"user"</formula>
    </cfRule>
    <cfRule type="cellIs" dxfId="646" priority="514" operator="equal">
      <formula>"access"</formula>
    </cfRule>
  </conditionalFormatting>
  <conditionalFormatting sqref="EF36:EO36">
    <cfRule type="cellIs" dxfId="645" priority="512" operator="equal">
      <formula>"employee"</formula>
    </cfRule>
  </conditionalFormatting>
  <conditionalFormatting sqref="EF36:EO36">
    <cfRule type="cellIs" dxfId="644" priority="511" operator="equal">
      <formula>"secure"</formula>
    </cfRule>
  </conditionalFormatting>
  <conditionalFormatting sqref="EF36:EO36">
    <cfRule type="cellIs" dxfId="643" priority="510" operator="equal">
      <formula>"microsoft"</formula>
    </cfRule>
  </conditionalFormatting>
  <conditionalFormatting sqref="EF36:EO36">
    <cfRule type="cellIs" dxfId="642" priority="509" operator="equal">
      <formula>"network"</formula>
    </cfRule>
  </conditionalFormatting>
  <conditionalFormatting sqref="EF36:EO36">
    <cfRule type="cellIs" dxfId="641" priority="508" operator="equal">
      <formula>"server"</formula>
    </cfRule>
  </conditionalFormatting>
  <conditionalFormatting sqref="EF37:EO40">
    <cfRule type="cellIs" dxfId="640" priority="506" operator="equal">
      <formula>"user"</formula>
    </cfRule>
    <cfRule type="cellIs" dxfId="639" priority="507" operator="equal">
      <formula>"access"</formula>
    </cfRule>
  </conditionalFormatting>
  <conditionalFormatting sqref="EF37:EO40">
    <cfRule type="cellIs" dxfId="638" priority="505" operator="equal">
      <formula>"employee"</formula>
    </cfRule>
  </conditionalFormatting>
  <conditionalFormatting sqref="EF37:EO40">
    <cfRule type="cellIs" dxfId="637" priority="504" operator="equal">
      <formula>"secure"</formula>
    </cfRule>
  </conditionalFormatting>
  <conditionalFormatting sqref="EF37:EO40">
    <cfRule type="cellIs" dxfId="636" priority="503" operator="equal">
      <formula>"microsoft"</formula>
    </cfRule>
  </conditionalFormatting>
  <conditionalFormatting sqref="EF37:EO40">
    <cfRule type="cellIs" dxfId="635" priority="502" operator="equal">
      <formula>"network"</formula>
    </cfRule>
  </conditionalFormatting>
  <conditionalFormatting sqref="EF37:EO40">
    <cfRule type="cellIs" dxfId="634" priority="501" operator="equal">
      <formula>"server"</formula>
    </cfRule>
  </conditionalFormatting>
  <conditionalFormatting sqref="EF42:EO46">
    <cfRule type="cellIs" dxfId="633" priority="489" operator="equal">
      <formula>"server"</formula>
    </cfRule>
  </conditionalFormatting>
  <conditionalFormatting sqref="EF41:EO41">
    <cfRule type="cellIs" dxfId="632" priority="500" operator="equal">
      <formula>"access"</formula>
    </cfRule>
  </conditionalFormatting>
  <conditionalFormatting sqref="EF41:EO41">
    <cfRule type="cellIs" dxfId="631" priority="499" operator="equal">
      <formula>"employee"</formula>
    </cfRule>
  </conditionalFormatting>
  <conditionalFormatting sqref="EF41:EO41">
    <cfRule type="cellIs" dxfId="630" priority="498" operator="equal">
      <formula>"secure"</formula>
    </cfRule>
  </conditionalFormatting>
  <conditionalFormatting sqref="EF41:EO41">
    <cfRule type="cellIs" dxfId="629" priority="497" operator="equal">
      <formula>"microsoft"</formula>
    </cfRule>
  </conditionalFormatting>
  <conditionalFormatting sqref="EF41:EO41">
    <cfRule type="cellIs" dxfId="628" priority="496" operator="equal">
      <formula>"network"</formula>
    </cfRule>
  </conditionalFormatting>
  <conditionalFormatting sqref="EF41:EO41">
    <cfRule type="cellIs" dxfId="627" priority="495" operator="equal">
      <formula>"server"</formula>
    </cfRule>
  </conditionalFormatting>
  <conditionalFormatting sqref="EF42:EO46">
    <cfRule type="cellIs" dxfId="626" priority="494" operator="equal">
      <formula>"access"</formula>
    </cfRule>
  </conditionalFormatting>
  <conditionalFormatting sqref="EF42:EO46">
    <cfRule type="cellIs" dxfId="625" priority="493" operator="equal">
      <formula>"employee"</formula>
    </cfRule>
  </conditionalFormatting>
  <conditionalFormatting sqref="EF42:EO46">
    <cfRule type="cellIs" dxfId="624" priority="492" operator="equal">
      <formula>"secure"</formula>
    </cfRule>
  </conditionalFormatting>
  <conditionalFormatting sqref="EF42:EO46">
    <cfRule type="cellIs" dxfId="623" priority="491" operator="equal">
      <formula>"microsoft"</formula>
    </cfRule>
  </conditionalFormatting>
  <conditionalFormatting sqref="EF42:EO46">
    <cfRule type="cellIs" dxfId="622" priority="490" operator="equal">
      <formula>"network"</formula>
    </cfRule>
  </conditionalFormatting>
  <conditionalFormatting sqref="EF3:EO46 EQ3:EQ4 EP5">
    <cfRule type="cellIs" dxfId="621" priority="488" operator="equal">
      <formula>"institution"</formula>
    </cfRule>
  </conditionalFormatting>
  <conditionalFormatting sqref="ES3:FB3 FD3">
    <cfRule type="cellIs" dxfId="620" priority="486" operator="equal">
      <formula>"user"</formula>
    </cfRule>
    <cfRule type="cellIs" dxfId="619" priority="487" operator="equal">
      <formula>"access"</formula>
    </cfRule>
  </conditionalFormatting>
  <conditionalFormatting sqref="ES3:FB3 FD3">
    <cfRule type="cellIs" dxfId="618" priority="485" operator="equal">
      <formula>"employee"</formula>
    </cfRule>
  </conditionalFormatting>
  <conditionalFormatting sqref="ES3:FB3 FD3">
    <cfRule type="cellIs" dxfId="617" priority="484" operator="equal">
      <formula>"secure"</formula>
    </cfRule>
  </conditionalFormatting>
  <conditionalFormatting sqref="ES3:FB3 FD3">
    <cfRule type="cellIs" dxfId="616" priority="483" operator="equal">
      <formula>"microsoft"</formula>
    </cfRule>
  </conditionalFormatting>
  <conditionalFormatting sqref="ES3:FB3 FD3">
    <cfRule type="cellIs" dxfId="615" priority="482" operator="equal">
      <formula>"network"</formula>
    </cfRule>
  </conditionalFormatting>
  <conditionalFormatting sqref="ES3:FB7 FC4:FC5 FD3">
    <cfRule type="cellIs" dxfId="614" priority="481" operator="equal">
      <formula>"server"</formula>
    </cfRule>
  </conditionalFormatting>
  <conditionalFormatting sqref="ES4:FC4">
    <cfRule type="cellIs" dxfId="613" priority="479" operator="equal">
      <formula>"user"</formula>
    </cfRule>
    <cfRule type="cellIs" dxfId="612" priority="480" operator="equal">
      <formula>"access"</formula>
    </cfRule>
  </conditionalFormatting>
  <conditionalFormatting sqref="ES4:FC4">
    <cfRule type="cellIs" dxfId="611" priority="478" operator="equal">
      <formula>"employee"</formula>
    </cfRule>
  </conditionalFormatting>
  <conditionalFormatting sqref="ES4:FC4">
    <cfRule type="cellIs" dxfId="610" priority="477" operator="equal">
      <formula>"secure"</formula>
    </cfRule>
  </conditionalFormatting>
  <conditionalFormatting sqref="ES4:FC4">
    <cfRule type="cellIs" dxfId="609" priority="476" operator="equal">
      <formula>"microsoft"</formula>
    </cfRule>
  </conditionalFormatting>
  <conditionalFormatting sqref="ES4:FB7 FC4:FC5">
    <cfRule type="cellIs" dxfId="608" priority="475" operator="equal">
      <formula>"network"</formula>
    </cfRule>
  </conditionalFormatting>
  <conditionalFormatting sqref="ES3:FB8 FC4:FC5 FD3">
    <cfRule type="cellIs" dxfId="607" priority="474" operator="equal">
      <formula>"addition"</formula>
    </cfRule>
  </conditionalFormatting>
  <conditionalFormatting sqref="ES3:FB8 FC4:FC5 FD3">
    <cfRule type="cellIs" dxfId="606" priority="473" operator="equal">
      <formula>"institution"</formula>
    </cfRule>
  </conditionalFormatting>
  <conditionalFormatting sqref="ES5:FB7 FC5">
    <cfRule type="cellIs" dxfId="605" priority="471" operator="equal">
      <formula>"user"</formula>
    </cfRule>
    <cfRule type="cellIs" dxfId="604" priority="472" operator="equal">
      <formula>"access"</formula>
    </cfRule>
  </conditionalFormatting>
  <conditionalFormatting sqref="ES5:FB7 FC5">
    <cfRule type="cellIs" dxfId="603" priority="470" operator="equal">
      <formula>"employee"</formula>
    </cfRule>
  </conditionalFormatting>
  <conditionalFormatting sqref="ES5:FB7 FC5">
    <cfRule type="cellIs" dxfId="602" priority="469" operator="equal">
      <formula>"secure"</formula>
    </cfRule>
  </conditionalFormatting>
  <conditionalFormatting sqref="ES5:FB7 FC5">
    <cfRule type="cellIs" dxfId="601" priority="468" operator="equal">
      <formula>"microsoft"</formula>
    </cfRule>
  </conditionalFormatting>
  <conditionalFormatting sqref="ES8:FB8">
    <cfRule type="cellIs" dxfId="600" priority="461" operator="equal">
      <formula>"server"</formula>
    </cfRule>
  </conditionalFormatting>
  <conditionalFormatting sqref="ES8:FB8">
    <cfRule type="cellIs" dxfId="599" priority="466" operator="equal">
      <formula>"user"</formula>
    </cfRule>
    <cfRule type="cellIs" dxfId="598" priority="467" operator="equal">
      <formula>"access"</formula>
    </cfRule>
  </conditionalFormatting>
  <conditionalFormatting sqref="ES8:FB8">
    <cfRule type="cellIs" dxfId="597" priority="465" operator="equal">
      <formula>"employee"</formula>
    </cfRule>
  </conditionalFormatting>
  <conditionalFormatting sqref="ES8:FB8">
    <cfRule type="cellIs" dxfId="596" priority="464" operator="equal">
      <formula>"secure"</formula>
    </cfRule>
  </conditionalFormatting>
  <conditionalFormatting sqref="ES8:FB8">
    <cfRule type="cellIs" dxfId="595" priority="463" operator="equal">
      <formula>"microsoft"</formula>
    </cfRule>
  </conditionalFormatting>
  <conditionalFormatting sqref="ES8:FB8">
    <cfRule type="cellIs" dxfId="594" priority="462" operator="equal">
      <formula>"network"</formula>
    </cfRule>
  </conditionalFormatting>
  <conditionalFormatting sqref="EP4">
    <cfRule type="cellIs" dxfId="593" priority="459" operator="equal">
      <formula>"user"</formula>
    </cfRule>
    <cfRule type="cellIs" dxfId="592" priority="460" operator="equal">
      <formula>"access"</formula>
    </cfRule>
  </conditionalFormatting>
  <conditionalFormatting sqref="EP4">
    <cfRule type="cellIs" dxfId="591" priority="458" operator="equal">
      <formula>"employee"</formula>
    </cfRule>
  </conditionalFormatting>
  <conditionalFormatting sqref="EP4">
    <cfRule type="cellIs" dxfId="590" priority="457" operator="equal">
      <formula>"secure"</formula>
    </cfRule>
  </conditionalFormatting>
  <conditionalFormatting sqref="EP4">
    <cfRule type="cellIs" dxfId="589" priority="456" operator="equal">
      <formula>"microsoft"</formula>
    </cfRule>
  </conditionalFormatting>
  <conditionalFormatting sqref="EP4">
    <cfRule type="cellIs" dxfId="588" priority="455" operator="equal">
      <formula>"server"</formula>
    </cfRule>
  </conditionalFormatting>
  <conditionalFormatting sqref="EP4">
    <cfRule type="cellIs" dxfId="587" priority="454" operator="equal">
      <formula>"network"</formula>
    </cfRule>
  </conditionalFormatting>
  <conditionalFormatting sqref="EP4">
    <cfRule type="cellIs" dxfId="586" priority="453" operator="equal">
      <formula>"addition"</formula>
    </cfRule>
  </conditionalFormatting>
  <conditionalFormatting sqref="ES11:FB12 FD11">
    <cfRule type="cellIs" dxfId="585" priority="452" operator="equal">
      <formula>"server"</formula>
    </cfRule>
  </conditionalFormatting>
  <conditionalFormatting sqref="ES11:FB12 FD11">
    <cfRule type="cellIs" dxfId="584" priority="451" operator="equal">
      <formula>"network"</formula>
    </cfRule>
  </conditionalFormatting>
  <conditionalFormatting sqref="ES11:FB12 FD11">
    <cfRule type="cellIs" dxfId="583" priority="450" operator="equal">
      <formula>"addition"</formula>
    </cfRule>
  </conditionalFormatting>
  <conditionalFormatting sqref="ES11:FB12 FD11">
    <cfRule type="cellIs" dxfId="582" priority="448" operator="equal">
      <formula>"user"</formula>
    </cfRule>
    <cfRule type="cellIs" dxfId="581" priority="449" operator="equal">
      <formula>"access"</formula>
    </cfRule>
  </conditionalFormatting>
  <conditionalFormatting sqref="ES11:FB12 FD11">
    <cfRule type="cellIs" dxfId="580" priority="447" operator="equal">
      <formula>"employee"</formula>
    </cfRule>
  </conditionalFormatting>
  <conditionalFormatting sqref="ES11:FB12 FD11">
    <cfRule type="cellIs" dxfId="579" priority="446" operator="equal">
      <formula>"secure"</formula>
    </cfRule>
  </conditionalFormatting>
  <conditionalFormatting sqref="ES11:FB12 FD11">
    <cfRule type="cellIs" dxfId="578" priority="445" operator="equal">
      <formula>"microsoft"</formula>
    </cfRule>
  </conditionalFormatting>
  <conditionalFormatting sqref="ES11:FB41 FD11">
    <cfRule type="cellIs" dxfId="577" priority="444" operator="equal">
      <formula>"institution"</formula>
    </cfRule>
  </conditionalFormatting>
  <conditionalFormatting sqref="ES13:FB14">
    <cfRule type="cellIs" dxfId="576" priority="443" operator="equal">
      <formula>"server"</formula>
    </cfRule>
  </conditionalFormatting>
  <conditionalFormatting sqref="ES13:FB14">
    <cfRule type="cellIs" dxfId="575" priority="442" operator="equal">
      <formula>"network"</formula>
    </cfRule>
  </conditionalFormatting>
  <conditionalFormatting sqref="ES13:FB14">
    <cfRule type="cellIs" dxfId="574" priority="440" operator="equal">
      <formula>"user"</formula>
    </cfRule>
    <cfRule type="cellIs" dxfId="573" priority="441" operator="equal">
      <formula>"access"</formula>
    </cfRule>
  </conditionalFormatting>
  <conditionalFormatting sqref="ES13:FB14">
    <cfRule type="cellIs" dxfId="572" priority="439" operator="equal">
      <formula>"employee"</formula>
    </cfRule>
  </conditionalFormatting>
  <conditionalFormatting sqref="ES13:FB14">
    <cfRule type="cellIs" dxfId="571" priority="438" operator="equal">
      <formula>"secure"</formula>
    </cfRule>
  </conditionalFormatting>
  <conditionalFormatting sqref="ES13:FB14">
    <cfRule type="cellIs" dxfId="570" priority="437" operator="equal">
      <formula>"microsoft"</formula>
    </cfRule>
  </conditionalFormatting>
  <conditionalFormatting sqref="ES13:FB41">
    <cfRule type="cellIs" dxfId="569" priority="436" operator="equal">
      <formula>"addition"</formula>
    </cfRule>
  </conditionalFormatting>
  <conditionalFormatting sqref="ES15:FB15">
    <cfRule type="cellIs" dxfId="568" priority="435" operator="equal">
      <formula>"access"</formula>
    </cfRule>
  </conditionalFormatting>
  <conditionalFormatting sqref="ES15:FB15">
    <cfRule type="cellIs" dxfId="567" priority="434" operator="equal">
      <formula>"employee"</formula>
    </cfRule>
  </conditionalFormatting>
  <conditionalFormatting sqref="ES15:FB15">
    <cfRule type="cellIs" dxfId="566" priority="433" operator="equal">
      <formula>"secure"</formula>
    </cfRule>
  </conditionalFormatting>
  <conditionalFormatting sqref="ES15:FB15">
    <cfRule type="cellIs" dxfId="565" priority="432" operator="equal">
      <formula>"microsoft"</formula>
    </cfRule>
  </conditionalFormatting>
  <conditionalFormatting sqref="ES15:FB15">
    <cfRule type="cellIs" dxfId="564" priority="431" operator="equal">
      <formula>"network"</formula>
    </cfRule>
  </conditionalFormatting>
  <conditionalFormatting sqref="ES15:FB15">
    <cfRule type="cellIs" dxfId="563" priority="430" operator="equal">
      <formula>"server"</formula>
    </cfRule>
  </conditionalFormatting>
  <conditionalFormatting sqref="ES16:FB16">
    <cfRule type="cellIs" dxfId="562" priority="428" operator="equal">
      <formula>"user"</formula>
    </cfRule>
    <cfRule type="cellIs" dxfId="561" priority="429" operator="equal">
      <formula>"access"</formula>
    </cfRule>
  </conditionalFormatting>
  <conditionalFormatting sqref="ES16:FB16">
    <cfRule type="cellIs" dxfId="560" priority="427" operator="equal">
      <formula>"employee"</formula>
    </cfRule>
  </conditionalFormatting>
  <conditionalFormatting sqref="ES16:FB16">
    <cfRule type="cellIs" dxfId="559" priority="426" operator="equal">
      <formula>"secure"</formula>
    </cfRule>
  </conditionalFormatting>
  <conditionalFormatting sqref="ES16:FB16">
    <cfRule type="cellIs" dxfId="558" priority="425" operator="equal">
      <formula>"microsoft"</formula>
    </cfRule>
  </conditionalFormatting>
  <conditionalFormatting sqref="ES16:FB16">
    <cfRule type="cellIs" dxfId="557" priority="424" operator="equal">
      <formula>"network"</formula>
    </cfRule>
  </conditionalFormatting>
  <conditionalFormatting sqref="ES16:FB18">
    <cfRule type="cellIs" dxfId="556" priority="423" operator="equal">
      <formula>"server"</formula>
    </cfRule>
  </conditionalFormatting>
  <conditionalFormatting sqref="ES17:FB18">
    <cfRule type="cellIs" dxfId="555" priority="421" operator="equal">
      <formula>"user"</formula>
    </cfRule>
    <cfRule type="cellIs" dxfId="554" priority="422" operator="equal">
      <formula>"access"</formula>
    </cfRule>
  </conditionalFormatting>
  <conditionalFormatting sqref="ES17:FB18">
    <cfRule type="cellIs" dxfId="553" priority="420" operator="equal">
      <formula>"employee"</formula>
    </cfRule>
  </conditionalFormatting>
  <conditionalFormatting sqref="ES17:FB18">
    <cfRule type="cellIs" dxfId="552" priority="419" operator="equal">
      <formula>"secure"</formula>
    </cfRule>
  </conditionalFormatting>
  <conditionalFormatting sqref="ES17:FB18">
    <cfRule type="cellIs" dxfId="551" priority="418" operator="equal">
      <formula>"microsoft"</formula>
    </cfRule>
  </conditionalFormatting>
  <conditionalFormatting sqref="ES17:FB18">
    <cfRule type="cellIs" dxfId="550" priority="417" operator="equal">
      <formula>"network"</formula>
    </cfRule>
  </conditionalFormatting>
  <conditionalFormatting sqref="ES19:FB19">
    <cfRule type="cellIs" dxfId="549" priority="415" operator="equal">
      <formula>"user"</formula>
    </cfRule>
    <cfRule type="cellIs" dxfId="548" priority="416" operator="equal">
      <formula>"access"</formula>
    </cfRule>
  </conditionalFormatting>
  <conditionalFormatting sqref="ES19:FB19">
    <cfRule type="cellIs" dxfId="547" priority="414" operator="equal">
      <formula>"employee"</formula>
    </cfRule>
  </conditionalFormatting>
  <conditionalFormatting sqref="ES19:FB19">
    <cfRule type="cellIs" dxfId="546" priority="413" operator="equal">
      <formula>"secure"</formula>
    </cfRule>
  </conditionalFormatting>
  <conditionalFormatting sqref="ES19:FB19">
    <cfRule type="cellIs" dxfId="545" priority="412" operator="equal">
      <formula>"microsoft"</formula>
    </cfRule>
  </conditionalFormatting>
  <conditionalFormatting sqref="ES19:FB19">
    <cfRule type="cellIs" dxfId="544" priority="411" operator="equal">
      <formula>"network"</formula>
    </cfRule>
  </conditionalFormatting>
  <conditionalFormatting sqref="ES19:FB19">
    <cfRule type="cellIs" dxfId="543" priority="410" operator="equal">
      <formula>"server"</formula>
    </cfRule>
  </conditionalFormatting>
  <conditionalFormatting sqref="ES20:FB30">
    <cfRule type="cellIs" dxfId="542" priority="408" operator="equal">
      <formula>"user"</formula>
    </cfRule>
    <cfRule type="cellIs" dxfId="541" priority="409" operator="equal">
      <formula>"access"</formula>
    </cfRule>
  </conditionalFormatting>
  <conditionalFormatting sqref="ES20:FB30">
    <cfRule type="cellIs" dxfId="540" priority="407" operator="equal">
      <formula>"access"</formula>
    </cfRule>
  </conditionalFormatting>
  <conditionalFormatting sqref="ES20:FB30">
    <cfRule type="cellIs" dxfId="539" priority="405" operator="equal">
      <formula>"user"</formula>
    </cfRule>
    <cfRule type="cellIs" dxfId="538" priority="406" operator="equal">
      <formula>"access"</formula>
    </cfRule>
  </conditionalFormatting>
  <conditionalFormatting sqref="ES20:FB30">
    <cfRule type="cellIs" dxfId="537" priority="404" operator="equal">
      <formula>"employee"</formula>
    </cfRule>
  </conditionalFormatting>
  <conditionalFormatting sqref="ES20:FB30">
    <cfRule type="cellIs" dxfId="536" priority="403" operator="equal">
      <formula>"secure"</formula>
    </cfRule>
  </conditionalFormatting>
  <conditionalFormatting sqref="ES20:FB30">
    <cfRule type="cellIs" dxfId="535" priority="402" operator="equal">
      <formula>"microsoft"</formula>
    </cfRule>
  </conditionalFormatting>
  <conditionalFormatting sqref="ES20:FB30">
    <cfRule type="cellIs" dxfId="534" priority="401" operator="equal">
      <formula>"network"</formula>
    </cfRule>
  </conditionalFormatting>
  <conditionalFormatting sqref="ES20:FB30">
    <cfRule type="cellIs" dxfId="533" priority="400" operator="equal">
      <formula>"server"</formula>
    </cfRule>
  </conditionalFormatting>
  <conditionalFormatting sqref="ES31:FB31">
    <cfRule type="cellIs" dxfId="532" priority="398" operator="equal">
      <formula>"user"</formula>
    </cfRule>
    <cfRule type="cellIs" dxfId="531" priority="399" operator="equal">
      <formula>"access"</formula>
    </cfRule>
  </conditionalFormatting>
  <conditionalFormatting sqref="ES31:FB31">
    <cfRule type="cellIs" dxfId="530" priority="397" operator="equal">
      <formula>"employee"</formula>
    </cfRule>
  </conditionalFormatting>
  <conditionalFormatting sqref="ES31:FB31">
    <cfRule type="cellIs" dxfId="529" priority="396" operator="equal">
      <formula>"secure"</formula>
    </cfRule>
  </conditionalFormatting>
  <conditionalFormatting sqref="ES31:FB31">
    <cfRule type="cellIs" dxfId="528" priority="395" operator="equal">
      <formula>"microsoft"</formula>
    </cfRule>
  </conditionalFormatting>
  <conditionalFormatting sqref="ES31:FB31">
    <cfRule type="cellIs" dxfId="527" priority="394" operator="equal">
      <formula>"network"</formula>
    </cfRule>
  </conditionalFormatting>
  <conditionalFormatting sqref="ES31:FB31">
    <cfRule type="cellIs" dxfId="526" priority="393" operator="equal">
      <formula>"server"</formula>
    </cfRule>
  </conditionalFormatting>
  <conditionalFormatting sqref="ES32:FB35">
    <cfRule type="cellIs" dxfId="525" priority="391" operator="equal">
      <formula>"user"</formula>
    </cfRule>
    <cfRule type="cellIs" dxfId="524" priority="392" operator="equal">
      <formula>"access"</formula>
    </cfRule>
  </conditionalFormatting>
  <conditionalFormatting sqref="ES32:FB35">
    <cfRule type="cellIs" dxfId="523" priority="390" operator="equal">
      <formula>"employee"</formula>
    </cfRule>
  </conditionalFormatting>
  <conditionalFormatting sqref="ES32:FB35">
    <cfRule type="cellIs" dxfId="522" priority="389" operator="equal">
      <formula>"secure"</formula>
    </cfRule>
  </conditionalFormatting>
  <conditionalFormatting sqref="ES32:FB35">
    <cfRule type="cellIs" dxfId="521" priority="388" operator="equal">
      <formula>"microsoft"</formula>
    </cfRule>
  </conditionalFormatting>
  <conditionalFormatting sqref="ES32:FB35">
    <cfRule type="cellIs" dxfId="520" priority="387" operator="equal">
      <formula>"network"</formula>
    </cfRule>
  </conditionalFormatting>
  <conditionalFormatting sqref="ES32:FB35">
    <cfRule type="cellIs" dxfId="519" priority="386" operator="equal">
      <formula>"server"</formula>
    </cfRule>
  </conditionalFormatting>
  <conditionalFormatting sqref="ES37:FB41">
    <cfRule type="cellIs" dxfId="518" priority="374" operator="equal">
      <formula>"server"</formula>
    </cfRule>
  </conditionalFormatting>
  <conditionalFormatting sqref="ES36:FB36">
    <cfRule type="cellIs" dxfId="517" priority="385" operator="equal">
      <formula>"access"</formula>
    </cfRule>
  </conditionalFormatting>
  <conditionalFormatting sqref="ES36:FB36">
    <cfRule type="cellIs" dxfId="516" priority="384" operator="equal">
      <formula>"employee"</formula>
    </cfRule>
  </conditionalFormatting>
  <conditionalFormatting sqref="ES36:FB36">
    <cfRule type="cellIs" dxfId="515" priority="383" operator="equal">
      <formula>"secure"</formula>
    </cfRule>
  </conditionalFormatting>
  <conditionalFormatting sqref="ES36:FB36">
    <cfRule type="cellIs" dxfId="514" priority="382" operator="equal">
      <formula>"microsoft"</formula>
    </cfRule>
  </conditionalFormatting>
  <conditionalFormatting sqref="ES36:FB36">
    <cfRule type="cellIs" dxfId="513" priority="381" operator="equal">
      <formula>"network"</formula>
    </cfRule>
  </conditionalFormatting>
  <conditionalFormatting sqref="ES36:FB36">
    <cfRule type="cellIs" dxfId="512" priority="380" operator="equal">
      <formula>"server"</formula>
    </cfRule>
  </conditionalFormatting>
  <conditionalFormatting sqref="ES37:FB41">
    <cfRule type="cellIs" dxfId="511" priority="379" operator="equal">
      <formula>"access"</formula>
    </cfRule>
  </conditionalFormatting>
  <conditionalFormatting sqref="ES37:FB41">
    <cfRule type="cellIs" dxfId="510" priority="378" operator="equal">
      <formula>"employee"</formula>
    </cfRule>
  </conditionalFormatting>
  <conditionalFormatting sqref="ES37:FB41">
    <cfRule type="cellIs" dxfId="509" priority="377" operator="equal">
      <formula>"secure"</formula>
    </cfRule>
  </conditionalFormatting>
  <conditionalFormatting sqref="ES37:FB41">
    <cfRule type="cellIs" dxfId="508" priority="376" operator="equal">
      <formula>"microsoft"</formula>
    </cfRule>
  </conditionalFormatting>
  <conditionalFormatting sqref="ES37:FB41">
    <cfRule type="cellIs" dxfId="507" priority="375" operator="equal">
      <formula>"network"</formula>
    </cfRule>
  </conditionalFormatting>
  <conditionalFormatting sqref="ES3:FB41 FD3 FD11">
    <cfRule type="cellIs" dxfId="506" priority="373" operator="equal">
      <formula>"customer"</formula>
    </cfRule>
  </conditionalFormatting>
  <conditionalFormatting sqref="FF3:FO3 FQ3">
    <cfRule type="cellIs" dxfId="505" priority="371" operator="equal">
      <formula>"user"</formula>
    </cfRule>
    <cfRule type="cellIs" dxfId="504" priority="372" operator="equal">
      <formula>"access"</formula>
    </cfRule>
  </conditionalFormatting>
  <conditionalFormatting sqref="FF3:FO3 FQ3">
    <cfRule type="cellIs" dxfId="503" priority="370" operator="equal">
      <formula>"employee"</formula>
    </cfRule>
  </conditionalFormatting>
  <conditionalFormatting sqref="FF3:FO3 FQ3">
    <cfRule type="cellIs" dxfId="502" priority="369" operator="equal">
      <formula>"secure"</formula>
    </cfRule>
  </conditionalFormatting>
  <conditionalFormatting sqref="FF3:FO3 FQ3">
    <cfRule type="cellIs" dxfId="501" priority="368" operator="equal">
      <formula>"microsoft"</formula>
    </cfRule>
  </conditionalFormatting>
  <conditionalFormatting sqref="FF3:FO3 FQ3">
    <cfRule type="cellIs" dxfId="500" priority="367" operator="equal">
      <formula>"network"</formula>
    </cfRule>
  </conditionalFormatting>
  <conditionalFormatting sqref="FF3:FO6 FP4:FP5 FQ3">
    <cfRule type="cellIs" dxfId="499" priority="366" operator="equal">
      <formula>"server"</formula>
    </cfRule>
  </conditionalFormatting>
  <conditionalFormatting sqref="FF4:FP4">
    <cfRule type="cellIs" dxfId="498" priority="364" operator="equal">
      <formula>"user"</formula>
    </cfRule>
    <cfRule type="cellIs" dxfId="497" priority="365" operator="equal">
      <formula>"access"</formula>
    </cfRule>
  </conditionalFormatting>
  <conditionalFormatting sqref="FF4:FP4">
    <cfRule type="cellIs" dxfId="496" priority="363" operator="equal">
      <formula>"employee"</formula>
    </cfRule>
  </conditionalFormatting>
  <conditionalFormatting sqref="FF4:FP4">
    <cfRule type="cellIs" dxfId="495" priority="362" operator="equal">
      <formula>"secure"</formula>
    </cfRule>
  </conditionalFormatting>
  <conditionalFormatting sqref="FF4:FP4">
    <cfRule type="cellIs" dxfId="494" priority="361" operator="equal">
      <formula>"microsoft"</formula>
    </cfRule>
  </conditionalFormatting>
  <conditionalFormatting sqref="FF4:FO6 FP4:FP5">
    <cfRule type="cellIs" dxfId="493" priority="360" operator="equal">
      <formula>"network"</formula>
    </cfRule>
  </conditionalFormatting>
  <conditionalFormatting sqref="FF3:FO7 FP4:FP5 FQ3">
    <cfRule type="cellIs" dxfId="492" priority="359" operator="equal">
      <formula>"addition"</formula>
    </cfRule>
  </conditionalFormatting>
  <conditionalFormatting sqref="FF3:FO7 FP4:FP5 FQ3">
    <cfRule type="cellIs" dxfId="491" priority="358" operator="equal">
      <formula>"institution"</formula>
    </cfRule>
  </conditionalFormatting>
  <conditionalFormatting sqref="FF5:FO6 FP5">
    <cfRule type="cellIs" dxfId="490" priority="356" operator="equal">
      <formula>"user"</formula>
    </cfRule>
    <cfRule type="cellIs" dxfId="489" priority="357" operator="equal">
      <formula>"access"</formula>
    </cfRule>
  </conditionalFormatting>
  <conditionalFormatting sqref="FF5:FO6 FP5">
    <cfRule type="cellIs" dxfId="488" priority="355" operator="equal">
      <formula>"employee"</formula>
    </cfRule>
  </conditionalFormatting>
  <conditionalFormatting sqref="FF5:FO6 FP5">
    <cfRule type="cellIs" dxfId="487" priority="354" operator="equal">
      <formula>"secure"</formula>
    </cfRule>
  </conditionalFormatting>
  <conditionalFormatting sqref="FF5:FO6 FP5">
    <cfRule type="cellIs" dxfId="486" priority="353" operator="equal">
      <formula>"microsoft"</formula>
    </cfRule>
  </conditionalFormatting>
  <conditionalFormatting sqref="FF3:FO7 FP4:FP5 FQ3">
    <cfRule type="cellIs" dxfId="485" priority="352" operator="equal">
      <formula>"customer"</formula>
    </cfRule>
  </conditionalFormatting>
  <conditionalFormatting sqref="FF7:FO7">
    <cfRule type="cellIs" dxfId="484" priority="345" operator="equal">
      <formula>"server"</formula>
    </cfRule>
  </conditionalFormatting>
  <conditionalFormatting sqref="FF7:FO7">
    <cfRule type="cellIs" dxfId="483" priority="350" operator="equal">
      <formula>"user"</formula>
    </cfRule>
    <cfRule type="cellIs" dxfId="482" priority="351" operator="equal">
      <formula>"access"</formula>
    </cfRule>
  </conditionalFormatting>
  <conditionalFormatting sqref="FF7:FO7">
    <cfRule type="cellIs" dxfId="481" priority="349" operator="equal">
      <formula>"employee"</formula>
    </cfRule>
  </conditionalFormatting>
  <conditionalFormatting sqref="FF7:FO7">
    <cfRule type="cellIs" dxfId="480" priority="348" operator="equal">
      <formula>"secure"</formula>
    </cfRule>
  </conditionalFormatting>
  <conditionalFormatting sqref="FF7:FO7">
    <cfRule type="cellIs" dxfId="479" priority="347" operator="equal">
      <formula>"microsoft"</formula>
    </cfRule>
  </conditionalFormatting>
  <conditionalFormatting sqref="FF7:FO7">
    <cfRule type="cellIs" dxfId="478" priority="346" operator="equal">
      <formula>"network"</formula>
    </cfRule>
  </conditionalFormatting>
  <conditionalFormatting sqref="FF11:FO11">
    <cfRule type="cellIs" dxfId="477" priority="344" operator="equal">
      <formula>"server"</formula>
    </cfRule>
  </conditionalFormatting>
  <conditionalFormatting sqref="FF11:FO11">
    <cfRule type="cellIs" dxfId="476" priority="343" operator="equal">
      <formula>"network"</formula>
    </cfRule>
  </conditionalFormatting>
  <conditionalFormatting sqref="FF11:FO11">
    <cfRule type="cellIs" dxfId="475" priority="342" operator="equal">
      <formula>"addition"</formula>
    </cfRule>
  </conditionalFormatting>
  <conditionalFormatting sqref="FF11:FO11">
    <cfRule type="cellIs" dxfId="474" priority="341" operator="equal">
      <formula>"institution"</formula>
    </cfRule>
  </conditionalFormatting>
  <conditionalFormatting sqref="FF11:FO11">
    <cfRule type="cellIs" dxfId="473" priority="339" operator="equal">
      <formula>"user"</formula>
    </cfRule>
    <cfRule type="cellIs" dxfId="472" priority="340" operator="equal">
      <formula>"access"</formula>
    </cfRule>
  </conditionalFormatting>
  <conditionalFormatting sqref="FF11:FO11">
    <cfRule type="cellIs" dxfId="471" priority="338" operator="equal">
      <formula>"employee"</formula>
    </cfRule>
  </conditionalFormatting>
  <conditionalFormatting sqref="FF11:FO11">
    <cfRule type="cellIs" dxfId="470" priority="337" operator="equal">
      <formula>"secure"</formula>
    </cfRule>
  </conditionalFormatting>
  <conditionalFormatting sqref="FF11:FO11">
    <cfRule type="cellIs" dxfId="469" priority="336" operator="equal">
      <formula>"microsoft"</formula>
    </cfRule>
  </conditionalFormatting>
  <conditionalFormatting sqref="FF11:FO42">
    <cfRule type="cellIs" dxfId="468" priority="335" operator="equal">
      <formula>"customer"</formula>
    </cfRule>
  </conditionalFormatting>
  <conditionalFormatting sqref="FF12:FO13">
    <cfRule type="cellIs" dxfId="467" priority="334" operator="equal">
      <formula>"server"</formula>
    </cfRule>
  </conditionalFormatting>
  <conditionalFormatting sqref="FF12:FO13">
    <cfRule type="cellIs" dxfId="466" priority="333" operator="equal">
      <formula>"network"</formula>
    </cfRule>
  </conditionalFormatting>
  <conditionalFormatting sqref="FF12:FO13">
    <cfRule type="cellIs" dxfId="465" priority="332" operator="equal">
      <formula>"addition"</formula>
    </cfRule>
  </conditionalFormatting>
  <conditionalFormatting sqref="FF12:FO13">
    <cfRule type="cellIs" dxfId="464" priority="330" operator="equal">
      <formula>"user"</formula>
    </cfRule>
    <cfRule type="cellIs" dxfId="463" priority="331" operator="equal">
      <formula>"access"</formula>
    </cfRule>
  </conditionalFormatting>
  <conditionalFormatting sqref="FF12:FO13">
    <cfRule type="cellIs" dxfId="462" priority="329" operator="equal">
      <formula>"employee"</formula>
    </cfRule>
  </conditionalFormatting>
  <conditionalFormatting sqref="FF12:FO13">
    <cfRule type="cellIs" dxfId="461" priority="328" operator="equal">
      <formula>"secure"</formula>
    </cfRule>
  </conditionalFormatting>
  <conditionalFormatting sqref="FF12:FO13">
    <cfRule type="cellIs" dxfId="460" priority="327" operator="equal">
      <formula>"microsoft"</formula>
    </cfRule>
  </conditionalFormatting>
  <conditionalFormatting sqref="FF12:FO42">
    <cfRule type="cellIs" dxfId="459" priority="326" operator="equal">
      <formula>"institution"</formula>
    </cfRule>
  </conditionalFormatting>
  <conditionalFormatting sqref="FF14:FO15">
    <cfRule type="cellIs" dxfId="458" priority="325" operator="equal">
      <formula>"server"</formula>
    </cfRule>
  </conditionalFormatting>
  <conditionalFormatting sqref="FF14:FO15">
    <cfRule type="cellIs" dxfId="457" priority="324" operator="equal">
      <formula>"network"</formula>
    </cfRule>
  </conditionalFormatting>
  <conditionalFormatting sqref="FF14:FO15">
    <cfRule type="cellIs" dxfId="456" priority="322" operator="equal">
      <formula>"user"</formula>
    </cfRule>
    <cfRule type="cellIs" dxfId="455" priority="323" operator="equal">
      <formula>"access"</formula>
    </cfRule>
  </conditionalFormatting>
  <conditionalFormatting sqref="FF14:FO15">
    <cfRule type="cellIs" dxfId="454" priority="321" operator="equal">
      <formula>"employee"</formula>
    </cfRule>
  </conditionalFormatting>
  <conditionalFormatting sqref="FF14:FO15">
    <cfRule type="cellIs" dxfId="453" priority="320" operator="equal">
      <formula>"secure"</formula>
    </cfRule>
  </conditionalFormatting>
  <conditionalFormatting sqref="FF14:FO15">
    <cfRule type="cellIs" dxfId="452" priority="319" operator="equal">
      <formula>"microsoft"</formula>
    </cfRule>
  </conditionalFormatting>
  <conditionalFormatting sqref="FF14:FO42">
    <cfRule type="cellIs" dxfId="451" priority="318" operator="equal">
      <formula>"addition"</formula>
    </cfRule>
  </conditionalFormatting>
  <conditionalFormatting sqref="FF16:FO16">
    <cfRule type="cellIs" dxfId="450" priority="317" operator="equal">
      <formula>"access"</formula>
    </cfRule>
  </conditionalFormatting>
  <conditionalFormatting sqref="FF16:FO16">
    <cfRule type="cellIs" dxfId="449" priority="316" operator="equal">
      <formula>"employee"</formula>
    </cfRule>
  </conditionalFormatting>
  <conditionalFormatting sqref="FF16:FO16">
    <cfRule type="cellIs" dxfId="448" priority="315" operator="equal">
      <formula>"secure"</formula>
    </cfRule>
  </conditionalFormatting>
  <conditionalFormatting sqref="FF16:FO16">
    <cfRule type="cellIs" dxfId="447" priority="314" operator="equal">
      <formula>"microsoft"</formula>
    </cfRule>
  </conditionalFormatting>
  <conditionalFormatting sqref="FF16:FO16">
    <cfRule type="cellIs" dxfId="446" priority="313" operator="equal">
      <formula>"network"</formula>
    </cfRule>
  </conditionalFormatting>
  <conditionalFormatting sqref="FF16:FO16">
    <cfRule type="cellIs" dxfId="445" priority="312" operator="equal">
      <formula>"server"</formula>
    </cfRule>
  </conditionalFormatting>
  <conditionalFormatting sqref="FF17:FO17">
    <cfRule type="cellIs" dxfId="444" priority="310" operator="equal">
      <formula>"user"</formula>
    </cfRule>
    <cfRule type="cellIs" dxfId="443" priority="311" operator="equal">
      <formula>"access"</formula>
    </cfRule>
  </conditionalFormatting>
  <conditionalFormatting sqref="FF17:FO17">
    <cfRule type="cellIs" dxfId="442" priority="309" operator="equal">
      <formula>"employee"</formula>
    </cfRule>
  </conditionalFormatting>
  <conditionalFormatting sqref="FF17:FO17">
    <cfRule type="cellIs" dxfId="441" priority="308" operator="equal">
      <formula>"secure"</formula>
    </cfRule>
  </conditionalFormatting>
  <conditionalFormatting sqref="FF17:FO17">
    <cfRule type="cellIs" dxfId="440" priority="307" operator="equal">
      <formula>"microsoft"</formula>
    </cfRule>
  </conditionalFormatting>
  <conditionalFormatting sqref="FF17:FO17">
    <cfRule type="cellIs" dxfId="439" priority="306" operator="equal">
      <formula>"network"</formula>
    </cfRule>
  </conditionalFormatting>
  <conditionalFormatting sqref="FF17:FO19">
    <cfRule type="cellIs" dxfId="438" priority="305" operator="equal">
      <formula>"server"</formula>
    </cfRule>
  </conditionalFormatting>
  <conditionalFormatting sqref="FF18:FO19">
    <cfRule type="cellIs" dxfId="437" priority="303" operator="equal">
      <formula>"user"</formula>
    </cfRule>
    <cfRule type="cellIs" dxfId="436" priority="304" operator="equal">
      <formula>"access"</formula>
    </cfRule>
  </conditionalFormatting>
  <conditionalFormatting sqref="FF18:FO19">
    <cfRule type="cellIs" dxfId="435" priority="302" operator="equal">
      <formula>"employee"</formula>
    </cfRule>
  </conditionalFormatting>
  <conditionalFormatting sqref="FF18:FO19">
    <cfRule type="cellIs" dxfId="434" priority="301" operator="equal">
      <formula>"secure"</formula>
    </cfRule>
  </conditionalFormatting>
  <conditionalFormatting sqref="FF18:FO19">
    <cfRule type="cellIs" dxfId="433" priority="300" operator="equal">
      <formula>"microsoft"</formula>
    </cfRule>
  </conditionalFormatting>
  <conditionalFormatting sqref="FF18:FO19">
    <cfRule type="cellIs" dxfId="432" priority="299" operator="equal">
      <formula>"network"</formula>
    </cfRule>
  </conditionalFormatting>
  <conditionalFormatting sqref="FF20:FO20">
    <cfRule type="cellIs" dxfId="431" priority="297" operator="equal">
      <formula>"user"</formula>
    </cfRule>
    <cfRule type="cellIs" dxfId="430" priority="298" operator="equal">
      <formula>"access"</formula>
    </cfRule>
  </conditionalFormatting>
  <conditionalFormatting sqref="FF20:FO20">
    <cfRule type="cellIs" dxfId="429" priority="296" operator="equal">
      <formula>"employee"</formula>
    </cfRule>
  </conditionalFormatting>
  <conditionalFormatting sqref="FF20:FO20">
    <cfRule type="cellIs" dxfId="428" priority="295" operator="equal">
      <formula>"secure"</formula>
    </cfRule>
  </conditionalFormatting>
  <conditionalFormatting sqref="FF20:FO20">
    <cfRule type="cellIs" dxfId="427" priority="294" operator="equal">
      <formula>"microsoft"</formula>
    </cfRule>
  </conditionalFormatting>
  <conditionalFormatting sqref="FF20:FO20">
    <cfRule type="cellIs" dxfId="426" priority="293" operator="equal">
      <formula>"network"</formula>
    </cfRule>
  </conditionalFormatting>
  <conditionalFormatting sqref="FF20:FO20">
    <cfRule type="cellIs" dxfId="425" priority="292" operator="equal">
      <formula>"server"</formula>
    </cfRule>
  </conditionalFormatting>
  <conditionalFormatting sqref="FF21:FO31">
    <cfRule type="cellIs" dxfId="424" priority="290" operator="equal">
      <formula>"user"</formula>
    </cfRule>
    <cfRule type="cellIs" dxfId="423" priority="291" operator="equal">
      <formula>"access"</formula>
    </cfRule>
  </conditionalFormatting>
  <conditionalFormatting sqref="FF21:FO31">
    <cfRule type="cellIs" dxfId="422" priority="289" operator="equal">
      <formula>"access"</formula>
    </cfRule>
  </conditionalFormatting>
  <conditionalFormatting sqref="FF21:FO31">
    <cfRule type="cellIs" dxfId="421" priority="287" operator="equal">
      <formula>"user"</formula>
    </cfRule>
    <cfRule type="cellIs" dxfId="420" priority="288" operator="equal">
      <formula>"access"</formula>
    </cfRule>
  </conditionalFormatting>
  <conditionalFormatting sqref="FF21:FO31">
    <cfRule type="cellIs" dxfId="419" priority="286" operator="equal">
      <formula>"employee"</formula>
    </cfRule>
  </conditionalFormatting>
  <conditionalFormatting sqref="FF21:FO31">
    <cfRule type="cellIs" dxfId="418" priority="285" operator="equal">
      <formula>"secure"</formula>
    </cfRule>
  </conditionalFormatting>
  <conditionalFormatting sqref="FF21:FO31">
    <cfRule type="cellIs" dxfId="417" priority="284" operator="equal">
      <formula>"microsoft"</formula>
    </cfRule>
  </conditionalFormatting>
  <conditionalFormatting sqref="FF21:FO31">
    <cfRule type="cellIs" dxfId="416" priority="283" operator="equal">
      <formula>"network"</formula>
    </cfRule>
  </conditionalFormatting>
  <conditionalFormatting sqref="FF21:FO31">
    <cfRule type="cellIs" dxfId="415" priority="282" operator="equal">
      <formula>"server"</formula>
    </cfRule>
  </conditionalFormatting>
  <conditionalFormatting sqref="FF32:FO32">
    <cfRule type="cellIs" dxfId="414" priority="280" operator="equal">
      <formula>"user"</formula>
    </cfRule>
    <cfRule type="cellIs" dxfId="413" priority="281" operator="equal">
      <formula>"access"</formula>
    </cfRule>
  </conditionalFormatting>
  <conditionalFormatting sqref="FF32:FO32">
    <cfRule type="cellIs" dxfId="412" priority="279" operator="equal">
      <formula>"employee"</formula>
    </cfRule>
  </conditionalFormatting>
  <conditionalFormatting sqref="FF32:FO32">
    <cfRule type="cellIs" dxfId="411" priority="278" operator="equal">
      <formula>"secure"</formula>
    </cfRule>
  </conditionalFormatting>
  <conditionalFormatting sqref="FF32:FO32">
    <cfRule type="cellIs" dxfId="410" priority="277" operator="equal">
      <formula>"microsoft"</formula>
    </cfRule>
  </conditionalFormatting>
  <conditionalFormatting sqref="FF32:FO32">
    <cfRule type="cellIs" dxfId="409" priority="276" operator="equal">
      <formula>"network"</formula>
    </cfRule>
  </conditionalFormatting>
  <conditionalFormatting sqref="FF32:FO32">
    <cfRule type="cellIs" dxfId="408" priority="275" operator="equal">
      <formula>"server"</formula>
    </cfRule>
  </conditionalFormatting>
  <conditionalFormatting sqref="FF33:FO36">
    <cfRule type="cellIs" dxfId="407" priority="273" operator="equal">
      <formula>"user"</formula>
    </cfRule>
    <cfRule type="cellIs" dxfId="406" priority="274" operator="equal">
      <formula>"access"</formula>
    </cfRule>
  </conditionalFormatting>
  <conditionalFormatting sqref="FF33:FO36">
    <cfRule type="cellIs" dxfId="405" priority="272" operator="equal">
      <formula>"employee"</formula>
    </cfRule>
  </conditionalFormatting>
  <conditionalFormatting sqref="FF33:FO36">
    <cfRule type="cellIs" dxfId="404" priority="271" operator="equal">
      <formula>"secure"</formula>
    </cfRule>
  </conditionalFormatting>
  <conditionalFormatting sqref="FF33:FO36">
    <cfRule type="cellIs" dxfId="403" priority="270" operator="equal">
      <formula>"microsoft"</formula>
    </cfRule>
  </conditionalFormatting>
  <conditionalFormatting sqref="FF33:FO36">
    <cfRule type="cellIs" dxfId="402" priority="269" operator="equal">
      <formula>"network"</formula>
    </cfRule>
  </conditionalFormatting>
  <conditionalFormatting sqref="FF33:FO36">
    <cfRule type="cellIs" dxfId="401" priority="268" operator="equal">
      <formula>"server"</formula>
    </cfRule>
  </conditionalFormatting>
  <conditionalFormatting sqref="FF38:FO42">
    <cfRule type="cellIs" dxfId="400" priority="256" operator="equal">
      <formula>"server"</formula>
    </cfRule>
  </conditionalFormatting>
  <conditionalFormatting sqref="FF37:FO37">
    <cfRule type="cellIs" dxfId="399" priority="267" operator="equal">
      <formula>"access"</formula>
    </cfRule>
  </conditionalFormatting>
  <conditionalFormatting sqref="FF37:FO37">
    <cfRule type="cellIs" dxfId="398" priority="266" operator="equal">
      <formula>"employee"</formula>
    </cfRule>
  </conditionalFormatting>
  <conditionalFormatting sqref="FF37:FO37">
    <cfRule type="cellIs" dxfId="397" priority="265" operator="equal">
      <formula>"secure"</formula>
    </cfRule>
  </conditionalFormatting>
  <conditionalFormatting sqref="FF37:FO37">
    <cfRule type="cellIs" dxfId="396" priority="264" operator="equal">
      <formula>"microsoft"</formula>
    </cfRule>
  </conditionalFormatting>
  <conditionalFormatting sqref="FF37:FO37">
    <cfRule type="cellIs" dxfId="395" priority="263" operator="equal">
      <formula>"network"</formula>
    </cfRule>
  </conditionalFormatting>
  <conditionalFormatting sqref="FF37:FO37">
    <cfRule type="cellIs" dxfId="394" priority="262" operator="equal">
      <formula>"server"</formula>
    </cfRule>
  </conditionalFormatting>
  <conditionalFormatting sqref="FF38:FO42">
    <cfRule type="cellIs" dxfId="393" priority="261" operator="equal">
      <formula>"access"</formula>
    </cfRule>
  </conditionalFormatting>
  <conditionalFormatting sqref="FF38:FO42">
    <cfRule type="cellIs" dxfId="392" priority="260" operator="equal">
      <formula>"employee"</formula>
    </cfRule>
  </conditionalFormatting>
  <conditionalFormatting sqref="FF38:FO42">
    <cfRule type="cellIs" dxfId="391" priority="259" operator="equal">
      <formula>"secure"</formula>
    </cfRule>
  </conditionalFormatting>
  <conditionalFormatting sqref="FF38:FO42">
    <cfRule type="cellIs" dxfId="390" priority="258" operator="equal">
      <formula>"microsoft"</formula>
    </cfRule>
  </conditionalFormatting>
  <conditionalFormatting sqref="FF38:FO42">
    <cfRule type="cellIs" dxfId="389" priority="257" operator="equal">
      <formula>"network"</formula>
    </cfRule>
  </conditionalFormatting>
  <conditionalFormatting sqref="FF3:FO42 FQ3">
    <cfRule type="cellIs" dxfId="388" priority="255" operator="equal">
      <formula>"planning"</formula>
    </cfRule>
  </conditionalFormatting>
  <conditionalFormatting sqref="FS3:GB5 GC4:GC5 GD3 GD5">
    <cfRule type="cellIs" dxfId="387" priority="254" operator="equal">
      <formula>"server"</formula>
    </cfRule>
  </conditionalFormatting>
  <conditionalFormatting sqref="FS3:GB3 GD3">
    <cfRule type="cellIs" dxfId="386" priority="252" operator="equal">
      <formula>"user"</formula>
    </cfRule>
    <cfRule type="cellIs" dxfId="385" priority="253" operator="equal">
      <formula>"access"</formula>
    </cfRule>
  </conditionalFormatting>
  <conditionalFormatting sqref="FS3:GB3 GD3">
    <cfRule type="cellIs" dxfId="384" priority="251" operator="equal">
      <formula>"employee"</formula>
    </cfRule>
  </conditionalFormatting>
  <conditionalFormatting sqref="FS3:GB3 GD3">
    <cfRule type="cellIs" dxfId="383" priority="250" operator="equal">
      <formula>"secure"</formula>
    </cfRule>
  </conditionalFormatting>
  <conditionalFormatting sqref="FS3:GB3 GD3">
    <cfRule type="cellIs" dxfId="382" priority="249" operator="equal">
      <formula>"microsoft"</formula>
    </cfRule>
  </conditionalFormatting>
  <conditionalFormatting sqref="FS3:GB5 GC4:GC5 GD3 GD5">
    <cfRule type="cellIs" dxfId="381" priority="248" operator="equal">
      <formula>"network"</formula>
    </cfRule>
  </conditionalFormatting>
  <conditionalFormatting sqref="FS3:GB5 GC4:GC5 GD3 GD5">
    <cfRule type="cellIs" dxfId="380" priority="247" operator="equal">
      <formula>"addition"</formula>
    </cfRule>
  </conditionalFormatting>
  <conditionalFormatting sqref="FS3:GB5 GC4:GC5 GD3 GD5">
    <cfRule type="cellIs" dxfId="379" priority="246" operator="equal">
      <formula>"institution"</formula>
    </cfRule>
  </conditionalFormatting>
  <conditionalFormatting sqref="FS4:GC5 GD5">
    <cfRule type="cellIs" dxfId="378" priority="244" operator="equal">
      <formula>"user"</formula>
    </cfRule>
    <cfRule type="cellIs" dxfId="377" priority="245" operator="equal">
      <formula>"access"</formula>
    </cfRule>
  </conditionalFormatting>
  <conditionalFormatting sqref="FS4:GC5 GD5">
    <cfRule type="cellIs" dxfId="376" priority="243" operator="equal">
      <formula>"employee"</formula>
    </cfRule>
  </conditionalFormatting>
  <conditionalFormatting sqref="FS4:GC5 GD5">
    <cfRule type="cellIs" dxfId="375" priority="242" operator="equal">
      <formula>"secure"</formula>
    </cfRule>
  </conditionalFormatting>
  <conditionalFormatting sqref="FS4:GC5 GD5">
    <cfRule type="cellIs" dxfId="374" priority="241" operator="equal">
      <formula>"microsoft"</formula>
    </cfRule>
  </conditionalFormatting>
  <conditionalFormatting sqref="FS3:GB5 GC4:GC5 GD3 GD5">
    <cfRule type="cellIs" dxfId="373" priority="240" operator="equal">
      <formula>"customer"</formula>
    </cfRule>
  </conditionalFormatting>
  <conditionalFormatting sqref="FS3:GB5 GC4:GC5 GD3 GD5">
    <cfRule type="cellIs" dxfId="372" priority="239" operator="equal">
      <formula>"planning"</formula>
    </cfRule>
  </conditionalFormatting>
  <conditionalFormatting sqref="FS8:GB8">
    <cfRule type="cellIs" dxfId="371" priority="237" operator="equal">
      <formula>"user"</formula>
    </cfRule>
    <cfRule type="cellIs" dxfId="370" priority="238" operator="equal">
      <formula>"access"</formula>
    </cfRule>
  </conditionalFormatting>
  <conditionalFormatting sqref="FS8:GB8">
    <cfRule type="cellIs" dxfId="369" priority="236" operator="equal">
      <formula>"employee"</formula>
    </cfRule>
  </conditionalFormatting>
  <conditionalFormatting sqref="FS8:GB8">
    <cfRule type="cellIs" dxfId="368" priority="235" operator="equal">
      <formula>"secure"</formula>
    </cfRule>
  </conditionalFormatting>
  <conditionalFormatting sqref="FS8:GB8">
    <cfRule type="cellIs" dxfId="367" priority="234" operator="equal">
      <formula>"microsoft"</formula>
    </cfRule>
  </conditionalFormatting>
  <conditionalFormatting sqref="FS8:GB8">
    <cfRule type="cellIs" dxfId="366" priority="233" operator="equal">
      <formula>"network"</formula>
    </cfRule>
  </conditionalFormatting>
  <conditionalFormatting sqref="FS8:GB8">
    <cfRule type="cellIs" dxfId="365" priority="232" operator="equal">
      <formula>"server"</formula>
    </cfRule>
  </conditionalFormatting>
  <conditionalFormatting sqref="FS8:GB9">
    <cfRule type="cellIs" dxfId="364" priority="231" operator="equal">
      <formula>"addition"</formula>
    </cfRule>
  </conditionalFormatting>
  <conditionalFormatting sqref="FS8:GB9">
    <cfRule type="cellIs" dxfId="363" priority="230" operator="equal">
      <formula>"institution"</formula>
    </cfRule>
  </conditionalFormatting>
  <conditionalFormatting sqref="FS8:GB9">
    <cfRule type="cellIs" dxfId="362" priority="229" operator="equal">
      <formula>"customer"</formula>
    </cfRule>
  </conditionalFormatting>
  <conditionalFormatting sqref="FS8:GB41">
    <cfRule type="cellIs" dxfId="361" priority="228" operator="equal">
      <formula>"planning"</formula>
    </cfRule>
  </conditionalFormatting>
  <conditionalFormatting sqref="FS9:GB9">
    <cfRule type="cellIs" dxfId="360" priority="221" operator="equal">
      <formula>"server"</formula>
    </cfRule>
  </conditionalFormatting>
  <conditionalFormatting sqref="FS9:GB9">
    <cfRule type="cellIs" dxfId="359" priority="226" operator="equal">
      <formula>"user"</formula>
    </cfRule>
    <cfRule type="cellIs" dxfId="358" priority="227" operator="equal">
      <formula>"access"</formula>
    </cfRule>
  </conditionalFormatting>
  <conditionalFormatting sqref="FS9:GB9">
    <cfRule type="cellIs" dxfId="357" priority="225" operator="equal">
      <formula>"employee"</formula>
    </cfRule>
  </conditionalFormatting>
  <conditionalFormatting sqref="FS9:GB9">
    <cfRule type="cellIs" dxfId="356" priority="224" operator="equal">
      <formula>"secure"</formula>
    </cfRule>
  </conditionalFormatting>
  <conditionalFormatting sqref="FS9:GB9">
    <cfRule type="cellIs" dxfId="355" priority="223" operator="equal">
      <formula>"microsoft"</formula>
    </cfRule>
  </conditionalFormatting>
  <conditionalFormatting sqref="FS9:GB9">
    <cfRule type="cellIs" dxfId="354" priority="222" operator="equal">
      <formula>"network"</formula>
    </cfRule>
  </conditionalFormatting>
  <conditionalFormatting sqref="FS10:GB10">
    <cfRule type="cellIs" dxfId="353" priority="220" operator="equal">
      <formula>"server"</formula>
    </cfRule>
  </conditionalFormatting>
  <conditionalFormatting sqref="FS10:GB10">
    <cfRule type="cellIs" dxfId="352" priority="219" operator="equal">
      <formula>"network"</formula>
    </cfRule>
  </conditionalFormatting>
  <conditionalFormatting sqref="FS10:GB10">
    <cfRule type="cellIs" dxfId="351" priority="218" operator="equal">
      <formula>"addition"</formula>
    </cfRule>
  </conditionalFormatting>
  <conditionalFormatting sqref="FS10:GB10">
    <cfRule type="cellIs" dxfId="350" priority="217" operator="equal">
      <formula>"institution"</formula>
    </cfRule>
  </conditionalFormatting>
  <conditionalFormatting sqref="FS10:GB10">
    <cfRule type="cellIs" dxfId="349" priority="215" operator="equal">
      <formula>"user"</formula>
    </cfRule>
    <cfRule type="cellIs" dxfId="348" priority="216" operator="equal">
      <formula>"access"</formula>
    </cfRule>
  </conditionalFormatting>
  <conditionalFormatting sqref="FS10:GB10">
    <cfRule type="cellIs" dxfId="347" priority="214" operator="equal">
      <formula>"employee"</formula>
    </cfRule>
  </conditionalFormatting>
  <conditionalFormatting sqref="FS10:GB10">
    <cfRule type="cellIs" dxfId="346" priority="213" operator="equal">
      <formula>"secure"</formula>
    </cfRule>
  </conditionalFormatting>
  <conditionalFormatting sqref="FS10:GB10">
    <cfRule type="cellIs" dxfId="345" priority="212" operator="equal">
      <formula>"microsoft"</formula>
    </cfRule>
  </conditionalFormatting>
  <conditionalFormatting sqref="FS10:GB41">
    <cfRule type="cellIs" dxfId="344" priority="211" operator="equal">
      <formula>"customer"</formula>
    </cfRule>
  </conditionalFormatting>
  <conditionalFormatting sqref="FS11:GB12">
    <cfRule type="cellIs" dxfId="343" priority="210" operator="equal">
      <formula>"server"</formula>
    </cfRule>
  </conditionalFormatting>
  <conditionalFormatting sqref="FS11:GB12">
    <cfRule type="cellIs" dxfId="342" priority="209" operator="equal">
      <formula>"network"</formula>
    </cfRule>
  </conditionalFormatting>
  <conditionalFormatting sqref="FS11:GB12">
    <cfRule type="cellIs" dxfId="341" priority="208" operator="equal">
      <formula>"addition"</formula>
    </cfRule>
  </conditionalFormatting>
  <conditionalFormatting sqref="FS11:GB12">
    <cfRule type="cellIs" dxfId="340" priority="206" operator="equal">
      <formula>"user"</formula>
    </cfRule>
    <cfRule type="cellIs" dxfId="339" priority="207" operator="equal">
      <formula>"access"</formula>
    </cfRule>
  </conditionalFormatting>
  <conditionalFormatting sqref="FS11:GB12">
    <cfRule type="cellIs" dxfId="338" priority="205" operator="equal">
      <formula>"employee"</formula>
    </cfRule>
  </conditionalFormatting>
  <conditionalFormatting sqref="FS11:GB12">
    <cfRule type="cellIs" dxfId="337" priority="204" operator="equal">
      <formula>"secure"</formula>
    </cfRule>
  </conditionalFormatting>
  <conditionalFormatting sqref="FS11:GB12">
    <cfRule type="cellIs" dxfId="336" priority="203" operator="equal">
      <formula>"microsoft"</formula>
    </cfRule>
  </conditionalFormatting>
  <conditionalFormatting sqref="FS11:GB41">
    <cfRule type="cellIs" dxfId="335" priority="202" operator="equal">
      <formula>"institution"</formula>
    </cfRule>
  </conditionalFormatting>
  <conditionalFormatting sqref="FS13:GB14">
    <cfRule type="cellIs" dxfId="334" priority="201" operator="equal">
      <formula>"server"</formula>
    </cfRule>
  </conditionalFormatting>
  <conditionalFormatting sqref="FS13:GB14">
    <cfRule type="cellIs" dxfId="333" priority="200" operator="equal">
      <formula>"network"</formula>
    </cfRule>
  </conditionalFormatting>
  <conditionalFormatting sqref="FS13:GB14">
    <cfRule type="cellIs" dxfId="332" priority="198" operator="equal">
      <formula>"user"</formula>
    </cfRule>
    <cfRule type="cellIs" dxfId="331" priority="199" operator="equal">
      <formula>"access"</formula>
    </cfRule>
  </conditionalFormatting>
  <conditionalFormatting sqref="FS13:GB14">
    <cfRule type="cellIs" dxfId="330" priority="197" operator="equal">
      <formula>"employee"</formula>
    </cfRule>
  </conditionalFormatting>
  <conditionalFormatting sqref="FS13:GB14">
    <cfRule type="cellIs" dxfId="329" priority="196" operator="equal">
      <formula>"secure"</formula>
    </cfRule>
  </conditionalFormatting>
  <conditionalFormatting sqref="FS13:GB14">
    <cfRule type="cellIs" dxfId="328" priority="195" operator="equal">
      <formula>"microsoft"</formula>
    </cfRule>
  </conditionalFormatting>
  <conditionalFormatting sqref="FS13:GB41">
    <cfRule type="cellIs" dxfId="327" priority="194" operator="equal">
      <formula>"addition"</formula>
    </cfRule>
  </conditionalFormatting>
  <conditionalFormatting sqref="FS15:GB15">
    <cfRule type="cellIs" dxfId="326" priority="193" operator="equal">
      <formula>"access"</formula>
    </cfRule>
  </conditionalFormatting>
  <conditionalFormatting sqref="FS15:GB15">
    <cfRule type="cellIs" dxfId="325" priority="192" operator="equal">
      <formula>"employee"</formula>
    </cfRule>
  </conditionalFormatting>
  <conditionalFormatting sqref="FS15:GB15">
    <cfRule type="cellIs" dxfId="324" priority="191" operator="equal">
      <formula>"secure"</formula>
    </cfRule>
  </conditionalFormatting>
  <conditionalFormatting sqref="FS15:GB15">
    <cfRule type="cellIs" dxfId="323" priority="190" operator="equal">
      <formula>"microsoft"</formula>
    </cfRule>
  </conditionalFormatting>
  <conditionalFormatting sqref="FS15:GB15">
    <cfRule type="cellIs" dxfId="322" priority="189" operator="equal">
      <formula>"network"</formula>
    </cfRule>
  </conditionalFormatting>
  <conditionalFormatting sqref="FS15:GB15">
    <cfRule type="cellIs" dxfId="321" priority="188" operator="equal">
      <formula>"server"</formula>
    </cfRule>
  </conditionalFormatting>
  <conditionalFormatting sqref="FS16:GB16">
    <cfRule type="cellIs" dxfId="320" priority="186" operator="equal">
      <formula>"user"</formula>
    </cfRule>
    <cfRule type="cellIs" dxfId="319" priority="187" operator="equal">
      <formula>"access"</formula>
    </cfRule>
  </conditionalFormatting>
  <conditionalFormatting sqref="FS16:GB16">
    <cfRule type="cellIs" dxfId="318" priority="185" operator="equal">
      <formula>"employee"</formula>
    </cfRule>
  </conditionalFormatting>
  <conditionalFormatting sqref="FS16:GB16">
    <cfRule type="cellIs" dxfId="317" priority="184" operator="equal">
      <formula>"secure"</formula>
    </cfRule>
  </conditionalFormatting>
  <conditionalFormatting sqref="FS16:GB16">
    <cfRule type="cellIs" dxfId="316" priority="183" operator="equal">
      <formula>"microsoft"</formula>
    </cfRule>
  </conditionalFormatting>
  <conditionalFormatting sqref="FS16:GB16">
    <cfRule type="cellIs" dxfId="315" priority="182" operator="equal">
      <formula>"network"</formula>
    </cfRule>
  </conditionalFormatting>
  <conditionalFormatting sqref="FS16:GB18">
    <cfRule type="cellIs" dxfId="314" priority="181" operator="equal">
      <formula>"server"</formula>
    </cfRule>
  </conditionalFormatting>
  <conditionalFormatting sqref="FS17:GB18">
    <cfRule type="cellIs" dxfId="313" priority="179" operator="equal">
      <formula>"user"</formula>
    </cfRule>
    <cfRule type="cellIs" dxfId="312" priority="180" operator="equal">
      <formula>"access"</formula>
    </cfRule>
  </conditionalFormatting>
  <conditionalFormatting sqref="FS17:GB18">
    <cfRule type="cellIs" dxfId="311" priority="178" operator="equal">
      <formula>"employee"</formula>
    </cfRule>
  </conditionalFormatting>
  <conditionalFormatting sqref="FS17:GB18">
    <cfRule type="cellIs" dxfId="310" priority="177" operator="equal">
      <formula>"secure"</formula>
    </cfRule>
  </conditionalFormatting>
  <conditionalFormatting sqref="FS17:GB18">
    <cfRule type="cellIs" dxfId="309" priority="176" operator="equal">
      <formula>"microsoft"</formula>
    </cfRule>
  </conditionalFormatting>
  <conditionalFormatting sqref="FS17:GB18">
    <cfRule type="cellIs" dxfId="308" priority="175" operator="equal">
      <formula>"network"</formula>
    </cfRule>
  </conditionalFormatting>
  <conditionalFormatting sqref="FS19:GB19">
    <cfRule type="cellIs" dxfId="307" priority="173" operator="equal">
      <formula>"user"</formula>
    </cfRule>
    <cfRule type="cellIs" dxfId="306" priority="174" operator="equal">
      <formula>"access"</formula>
    </cfRule>
  </conditionalFormatting>
  <conditionalFormatting sqref="FS19:GB19">
    <cfRule type="cellIs" dxfId="305" priority="172" operator="equal">
      <formula>"employee"</formula>
    </cfRule>
  </conditionalFormatting>
  <conditionalFormatting sqref="FS19:GB19">
    <cfRule type="cellIs" dxfId="304" priority="171" operator="equal">
      <formula>"secure"</formula>
    </cfRule>
  </conditionalFormatting>
  <conditionalFormatting sqref="FS19:GB19">
    <cfRule type="cellIs" dxfId="303" priority="170" operator="equal">
      <formula>"microsoft"</formula>
    </cfRule>
  </conditionalFormatting>
  <conditionalFormatting sqref="FS19:GB19">
    <cfRule type="cellIs" dxfId="302" priority="169" operator="equal">
      <formula>"network"</formula>
    </cfRule>
  </conditionalFormatting>
  <conditionalFormatting sqref="FS19:GB19">
    <cfRule type="cellIs" dxfId="301" priority="168" operator="equal">
      <formula>"server"</formula>
    </cfRule>
  </conditionalFormatting>
  <conditionalFormatting sqref="FS20:GB30">
    <cfRule type="cellIs" dxfId="300" priority="166" operator="equal">
      <formula>"user"</formula>
    </cfRule>
    <cfRule type="cellIs" dxfId="299" priority="167" operator="equal">
      <formula>"access"</formula>
    </cfRule>
  </conditionalFormatting>
  <conditionalFormatting sqref="FS20:GB30">
    <cfRule type="cellIs" dxfId="298" priority="165" operator="equal">
      <formula>"access"</formula>
    </cfRule>
  </conditionalFormatting>
  <conditionalFormatting sqref="FS20:GB30">
    <cfRule type="cellIs" dxfId="297" priority="163" operator="equal">
      <formula>"user"</formula>
    </cfRule>
    <cfRule type="cellIs" dxfId="296" priority="164" operator="equal">
      <formula>"access"</formula>
    </cfRule>
  </conditionalFormatting>
  <conditionalFormatting sqref="FS20:GB30">
    <cfRule type="cellIs" dxfId="295" priority="162" operator="equal">
      <formula>"employee"</formula>
    </cfRule>
  </conditionalFormatting>
  <conditionalFormatting sqref="FS20:GB30">
    <cfRule type="cellIs" dxfId="294" priority="161" operator="equal">
      <formula>"secure"</formula>
    </cfRule>
  </conditionalFormatting>
  <conditionalFormatting sqref="FS20:GB30">
    <cfRule type="cellIs" dxfId="293" priority="160" operator="equal">
      <formula>"microsoft"</formula>
    </cfRule>
  </conditionalFormatting>
  <conditionalFormatting sqref="FS20:GB30">
    <cfRule type="cellIs" dxfId="292" priority="159" operator="equal">
      <formula>"network"</formula>
    </cfRule>
  </conditionalFormatting>
  <conditionalFormatting sqref="FS20:GB30">
    <cfRule type="cellIs" dxfId="291" priority="158" operator="equal">
      <formula>"server"</formula>
    </cfRule>
  </conditionalFormatting>
  <conditionalFormatting sqref="FS31:GB31">
    <cfRule type="cellIs" dxfId="290" priority="156" operator="equal">
      <formula>"user"</formula>
    </cfRule>
    <cfRule type="cellIs" dxfId="289" priority="157" operator="equal">
      <formula>"access"</formula>
    </cfRule>
  </conditionalFormatting>
  <conditionalFormatting sqref="FS31:GB31">
    <cfRule type="cellIs" dxfId="288" priority="155" operator="equal">
      <formula>"employee"</formula>
    </cfRule>
  </conditionalFormatting>
  <conditionalFormatting sqref="FS31:GB31">
    <cfRule type="cellIs" dxfId="287" priority="154" operator="equal">
      <formula>"secure"</formula>
    </cfRule>
  </conditionalFormatting>
  <conditionalFormatting sqref="FS31:GB31">
    <cfRule type="cellIs" dxfId="286" priority="153" operator="equal">
      <formula>"microsoft"</formula>
    </cfRule>
  </conditionalFormatting>
  <conditionalFormatting sqref="FS31:GB31">
    <cfRule type="cellIs" dxfId="285" priority="152" operator="equal">
      <formula>"network"</formula>
    </cfRule>
  </conditionalFormatting>
  <conditionalFormatting sqref="FS31:GB31">
    <cfRule type="cellIs" dxfId="284" priority="151" operator="equal">
      <formula>"server"</formula>
    </cfRule>
  </conditionalFormatting>
  <conditionalFormatting sqref="FS32:GB35">
    <cfRule type="cellIs" dxfId="283" priority="149" operator="equal">
      <formula>"user"</formula>
    </cfRule>
    <cfRule type="cellIs" dxfId="282" priority="150" operator="equal">
      <formula>"access"</formula>
    </cfRule>
  </conditionalFormatting>
  <conditionalFormatting sqref="FS32:GB35">
    <cfRule type="cellIs" dxfId="281" priority="148" operator="equal">
      <formula>"employee"</formula>
    </cfRule>
  </conditionalFormatting>
  <conditionalFormatting sqref="FS32:GB35">
    <cfRule type="cellIs" dxfId="280" priority="147" operator="equal">
      <formula>"secure"</formula>
    </cfRule>
  </conditionalFormatting>
  <conditionalFormatting sqref="FS32:GB35">
    <cfRule type="cellIs" dxfId="279" priority="146" operator="equal">
      <formula>"microsoft"</formula>
    </cfRule>
  </conditionalFormatting>
  <conditionalFormatting sqref="FS32:GB35">
    <cfRule type="cellIs" dxfId="278" priority="145" operator="equal">
      <formula>"network"</formula>
    </cfRule>
  </conditionalFormatting>
  <conditionalFormatting sqref="FS32:GB35">
    <cfRule type="cellIs" dxfId="277" priority="144" operator="equal">
      <formula>"server"</formula>
    </cfRule>
  </conditionalFormatting>
  <conditionalFormatting sqref="FS37:GB41">
    <cfRule type="cellIs" dxfId="276" priority="132" operator="equal">
      <formula>"server"</formula>
    </cfRule>
  </conditionalFormatting>
  <conditionalFormatting sqref="FS36:GB36">
    <cfRule type="cellIs" dxfId="275" priority="143" operator="equal">
      <formula>"access"</formula>
    </cfRule>
  </conditionalFormatting>
  <conditionalFormatting sqref="FS36:GB36">
    <cfRule type="cellIs" dxfId="274" priority="142" operator="equal">
      <formula>"employee"</formula>
    </cfRule>
  </conditionalFormatting>
  <conditionalFormatting sqref="FS36:GB36">
    <cfRule type="cellIs" dxfId="273" priority="141" operator="equal">
      <formula>"secure"</formula>
    </cfRule>
  </conditionalFormatting>
  <conditionalFormatting sqref="FS36:GB36">
    <cfRule type="cellIs" dxfId="272" priority="140" operator="equal">
      <formula>"microsoft"</formula>
    </cfRule>
  </conditionalFormatting>
  <conditionalFormatting sqref="FS36:GB36">
    <cfRule type="cellIs" dxfId="271" priority="139" operator="equal">
      <formula>"network"</formula>
    </cfRule>
  </conditionalFormatting>
  <conditionalFormatting sqref="FS36:GB36">
    <cfRule type="cellIs" dxfId="270" priority="138" operator="equal">
      <formula>"server"</formula>
    </cfRule>
  </conditionalFormatting>
  <conditionalFormatting sqref="FS37:GB41">
    <cfRule type="cellIs" dxfId="269" priority="137" operator="equal">
      <formula>"access"</formula>
    </cfRule>
  </conditionalFormatting>
  <conditionalFormatting sqref="FS37:GB41">
    <cfRule type="cellIs" dxfId="268" priority="136" operator="equal">
      <formula>"employee"</formula>
    </cfRule>
  </conditionalFormatting>
  <conditionalFormatting sqref="FS37:GB41">
    <cfRule type="cellIs" dxfId="267" priority="135" operator="equal">
      <formula>"secure"</formula>
    </cfRule>
  </conditionalFormatting>
  <conditionalFormatting sqref="FS37:GB41">
    <cfRule type="cellIs" dxfId="266" priority="134" operator="equal">
      <formula>"microsoft"</formula>
    </cfRule>
  </conditionalFormatting>
  <conditionalFormatting sqref="FS37:GB41">
    <cfRule type="cellIs" dxfId="265" priority="133" operator="equal">
      <formula>"network"</formula>
    </cfRule>
  </conditionalFormatting>
  <conditionalFormatting sqref="FS3:GB41 GD3 GD5">
    <cfRule type="cellIs" dxfId="264" priority="131" operator="equal">
      <formula>"software"</formula>
    </cfRule>
  </conditionalFormatting>
  <conditionalFormatting sqref="GF3:GO3">
    <cfRule type="cellIs" dxfId="263" priority="130" operator="equal">
      <formula>"server"</formula>
    </cfRule>
  </conditionalFormatting>
  <conditionalFormatting sqref="GF3:GO3">
    <cfRule type="cellIs" dxfId="262" priority="129" operator="equal">
      <formula>"network"</formula>
    </cfRule>
  </conditionalFormatting>
  <conditionalFormatting sqref="GF3:GO3">
    <cfRule type="cellIs" dxfId="261" priority="128" operator="equal">
      <formula>"addition"</formula>
    </cfRule>
  </conditionalFormatting>
  <conditionalFormatting sqref="GF3:GO3">
    <cfRule type="cellIs" dxfId="260" priority="127" operator="equal">
      <formula>"institution"</formula>
    </cfRule>
  </conditionalFormatting>
  <conditionalFormatting sqref="GF3:GO3">
    <cfRule type="cellIs" dxfId="259" priority="125" operator="equal">
      <formula>"user"</formula>
    </cfRule>
    <cfRule type="cellIs" dxfId="258" priority="126" operator="equal">
      <formula>"access"</formula>
    </cfRule>
  </conditionalFormatting>
  <conditionalFormatting sqref="GF3:GO3">
    <cfRule type="cellIs" dxfId="257" priority="124" operator="equal">
      <formula>"employee"</formula>
    </cfRule>
  </conditionalFormatting>
  <conditionalFormatting sqref="GF3:GO3">
    <cfRule type="cellIs" dxfId="256" priority="123" operator="equal">
      <formula>"secure"</formula>
    </cfRule>
  </conditionalFormatting>
  <conditionalFormatting sqref="GF3:GO3">
    <cfRule type="cellIs" dxfId="255" priority="122" operator="equal">
      <formula>"microsoft"</formula>
    </cfRule>
  </conditionalFormatting>
  <conditionalFormatting sqref="GF3:GO3">
    <cfRule type="cellIs" dxfId="254" priority="121" operator="equal">
      <formula>"customer"</formula>
    </cfRule>
  </conditionalFormatting>
  <conditionalFormatting sqref="GF3:GO3">
    <cfRule type="cellIs" dxfId="253" priority="120" operator="equal">
      <formula>"planning"</formula>
    </cfRule>
  </conditionalFormatting>
  <conditionalFormatting sqref="GF3:GO3">
    <cfRule type="cellIs" dxfId="252" priority="119" operator="equal">
      <formula>"software"</formula>
    </cfRule>
  </conditionalFormatting>
  <conditionalFormatting sqref="GF7:GO8">
    <cfRule type="cellIs" dxfId="117" priority="118" operator="equal">
      <formula>"server"</formula>
    </cfRule>
  </conditionalFormatting>
  <conditionalFormatting sqref="GF7:GO7">
    <cfRule type="cellIs" dxfId="116" priority="116" operator="equal">
      <formula>"user"</formula>
    </cfRule>
    <cfRule type="cellIs" dxfId="115" priority="117" operator="equal">
      <formula>"access"</formula>
    </cfRule>
  </conditionalFormatting>
  <conditionalFormatting sqref="GF7:GO7">
    <cfRule type="cellIs" dxfId="114" priority="115" operator="equal">
      <formula>"employee"</formula>
    </cfRule>
  </conditionalFormatting>
  <conditionalFormatting sqref="GF7:GO7">
    <cfRule type="cellIs" dxfId="113" priority="114" operator="equal">
      <formula>"secure"</formula>
    </cfRule>
  </conditionalFormatting>
  <conditionalFormatting sqref="GF7:GO7">
    <cfRule type="cellIs" dxfId="112" priority="113" operator="equal">
      <formula>"microsoft"</formula>
    </cfRule>
  </conditionalFormatting>
  <conditionalFormatting sqref="GF7:GO8">
    <cfRule type="cellIs" dxfId="111" priority="112" operator="equal">
      <formula>"network"</formula>
    </cfRule>
  </conditionalFormatting>
  <conditionalFormatting sqref="GF7:GO8">
    <cfRule type="cellIs" dxfId="110" priority="111" operator="equal">
      <formula>"addition"</formula>
    </cfRule>
  </conditionalFormatting>
  <conditionalFormatting sqref="GF7:GO8">
    <cfRule type="cellIs" dxfId="109" priority="110" operator="equal">
      <formula>"institution"</formula>
    </cfRule>
  </conditionalFormatting>
  <conditionalFormatting sqref="GF8:GO8">
    <cfRule type="cellIs" dxfId="108" priority="108" operator="equal">
      <formula>"user"</formula>
    </cfRule>
    <cfRule type="cellIs" dxfId="107" priority="109" operator="equal">
      <formula>"access"</formula>
    </cfRule>
  </conditionalFormatting>
  <conditionalFormatting sqref="GF8:GO8">
    <cfRule type="cellIs" dxfId="106" priority="107" operator="equal">
      <formula>"employee"</formula>
    </cfRule>
  </conditionalFormatting>
  <conditionalFormatting sqref="GF8:GO8">
    <cfRule type="cellIs" dxfId="105" priority="106" operator="equal">
      <formula>"secure"</formula>
    </cfRule>
  </conditionalFormatting>
  <conditionalFormatting sqref="GF8:GO8">
    <cfRule type="cellIs" dxfId="104" priority="105" operator="equal">
      <formula>"microsoft"</formula>
    </cfRule>
  </conditionalFormatting>
  <conditionalFormatting sqref="GF7:GO8">
    <cfRule type="cellIs" dxfId="103" priority="104" operator="equal">
      <formula>"customer"</formula>
    </cfRule>
  </conditionalFormatting>
  <conditionalFormatting sqref="GF7:GO8">
    <cfRule type="cellIs" dxfId="102" priority="103" operator="equal">
      <formula>"planning"</formula>
    </cfRule>
  </conditionalFormatting>
  <conditionalFormatting sqref="GF7:GO38">
    <cfRule type="cellIs" dxfId="101" priority="102" operator="equal">
      <formula>"software"</formula>
    </cfRule>
  </conditionalFormatting>
  <conditionalFormatting sqref="GF9:GO9">
    <cfRule type="cellIs" dxfId="100" priority="100" operator="equal">
      <formula>"user"</formula>
    </cfRule>
    <cfRule type="cellIs" dxfId="99" priority="101" operator="equal">
      <formula>"access"</formula>
    </cfRule>
  </conditionalFormatting>
  <conditionalFormatting sqref="GF9:GO9">
    <cfRule type="cellIs" dxfId="98" priority="99" operator="equal">
      <formula>"employee"</formula>
    </cfRule>
  </conditionalFormatting>
  <conditionalFormatting sqref="GF9:GO9">
    <cfRule type="cellIs" dxfId="97" priority="98" operator="equal">
      <formula>"secure"</formula>
    </cfRule>
  </conditionalFormatting>
  <conditionalFormatting sqref="GF9:GO9">
    <cfRule type="cellIs" dxfId="96" priority="97" operator="equal">
      <formula>"microsoft"</formula>
    </cfRule>
  </conditionalFormatting>
  <conditionalFormatting sqref="GF9:GO9">
    <cfRule type="cellIs" dxfId="95" priority="96" operator="equal">
      <formula>"network"</formula>
    </cfRule>
  </conditionalFormatting>
  <conditionalFormatting sqref="GF9:GO9">
    <cfRule type="cellIs" dxfId="94" priority="95" operator="equal">
      <formula>"server"</formula>
    </cfRule>
  </conditionalFormatting>
  <conditionalFormatting sqref="GF9:GO10">
    <cfRule type="cellIs" dxfId="93" priority="94" operator="equal">
      <formula>"addition"</formula>
    </cfRule>
  </conditionalFormatting>
  <conditionalFormatting sqref="GF9:GO10">
    <cfRule type="cellIs" dxfId="92" priority="93" operator="equal">
      <formula>"institution"</formula>
    </cfRule>
  </conditionalFormatting>
  <conditionalFormatting sqref="GF9:GO10">
    <cfRule type="cellIs" dxfId="91" priority="92" operator="equal">
      <formula>"customer"</formula>
    </cfRule>
  </conditionalFormatting>
  <conditionalFormatting sqref="GF9:GO38">
    <cfRule type="cellIs" dxfId="90" priority="91" operator="equal">
      <formula>"planning"</formula>
    </cfRule>
  </conditionalFormatting>
  <conditionalFormatting sqref="GF10:GO10">
    <cfRule type="cellIs" dxfId="89" priority="84" operator="equal">
      <formula>"server"</formula>
    </cfRule>
  </conditionalFormatting>
  <conditionalFormatting sqref="GF10:GO10">
    <cfRule type="cellIs" dxfId="88" priority="89" operator="equal">
      <formula>"user"</formula>
    </cfRule>
    <cfRule type="cellIs" dxfId="87" priority="90" operator="equal">
      <formula>"access"</formula>
    </cfRule>
  </conditionalFormatting>
  <conditionalFormatting sqref="GF10:GO10">
    <cfRule type="cellIs" dxfId="86" priority="88" operator="equal">
      <formula>"employee"</formula>
    </cfRule>
  </conditionalFormatting>
  <conditionalFormatting sqref="GF10:GO10">
    <cfRule type="cellIs" dxfId="85" priority="87" operator="equal">
      <formula>"secure"</formula>
    </cfRule>
  </conditionalFormatting>
  <conditionalFormatting sqref="GF10:GO10">
    <cfRule type="cellIs" dxfId="84" priority="86" operator="equal">
      <formula>"microsoft"</formula>
    </cfRule>
  </conditionalFormatting>
  <conditionalFormatting sqref="GF10:GO10">
    <cfRule type="cellIs" dxfId="83" priority="85" operator="equal">
      <formula>"network"</formula>
    </cfRule>
  </conditionalFormatting>
  <conditionalFormatting sqref="GF11:GO11">
    <cfRule type="cellIs" dxfId="82" priority="83" operator="equal">
      <formula>"server"</formula>
    </cfRule>
  </conditionalFormatting>
  <conditionalFormatting sqref="GF11:GO11">
    <cfRule type="cellIs" dxfId="81" priority="82" operator="equal">
      <formula>"network"</formula>
    </cfRule>
  </conditionalFormatting>
  <conditionalFormatting sqref="GF11:GO11">
    <cfRule type="cellIs" dxfId="80" priority="81" operator="equal">
      <formula>"addition"</formula>
    </cfRule>
  </conditionalFormatting>
  <conditionalFormatting sqref="GF11:GO11">
    <cfRule type="cellIs" dxfId="79" priority="80" operator="equal">
      <formula>"institution"</formula>
    </cfRule>
  </conditionalFormatting>
  <conditionalFormatting sqref="GF11:GO11">
    <cfRule type="cellIs" dxfId="78" priority="78" operator="equal">
      <formula>"user"</formula>
    </cfRule>
    <cfRule type="cellIs" dxfId="77" priority="79" operator="equal">
      <formula>"access"</formula>
    </cfRule>
  </conditionalFormatting>
  <conditionalFormatting sqref="GF11:GO11">
    <cfRule type="cellIs" dxfId="76" priority="77" operator="equal">
      <formula>"employee"</formula>
    </cfRule>
  </conditionalFormatting>
  <conditionalFormatting sqref="GF11:GO11">
    <cfRule type="cellIs" dxfId="75" priority="76" operator="equal">
      <formula>"secure"</formula>
    </cfRule>
  </conditionalFormatting>
  <conditionalFormatting sqref="GF11:GO11">
    <cfRule type="cellIs" dxfId="74" priority="75" operator="equal">
      <formula>"microsoft"</formula>
    </cfRule>
  </conditionalFormatting>
  <conditionalFormatting sqref="GF11:GO38">
    <cfRule type="cellIs" dxfId="73" priority="74" operator="equal">
      <formula>"customer"</formula>
    </cfRule>
  </conditionalFormatting>
  <conditionalFormatting sqref="GF12:GO13">
    <cfRule type="cellIs" dxfId="72" priority="73" operator="equal">
      <formula>"server"</formula>
    </cfRule>
  </conditionalFormatting>
  <conditionalFormatting sqref="GF12:GO13">
    <cfRule type="cellIs" dxfId="71" priority="72" operator="equal">
      <formula>"network"</formula>
    </cfRule>
  </conditionalFormatting>
  <conditionalFormatting sqref="GF12:GO13">
    <cfRule type="cellIs" dxfId="70" priority="71" operator="equal">
      <formula>"addition"</formula>
    </cfRule>
  </conditionalFormatting>
  <conditionalFormatting sqref="GF12:GO13">
    <cfRule type="cellIs" dxfId="69" priority="69" operator="equal">
      <formula>"user"</formula>
    </cfRule>
    <cfRule type="cellIs" dxfId="68" priority="70" operator="equal">
      <formula>"access"</formula>
    </cfRule>
  </conditionalFormatting>
  <conditionalFormatting sqref="GF12:GO13">
    <cfRule type="cellIs" dxfId="67" priority="68" operator="equal">
      <formula>"employee"</formula>
    </cfRule>
  </conditionalFormatting>
  <conditionalFormatting sqref="GF12:GO13">
    <cfRule type="cellIs" dxfId="66" priority="67" operator="equal">
      <formula>"secure"</formula>
    </cfRule>
  </conditionalFormatting>
  <conditionalFormatting sqref="GF12:GO13">
    <cfRule type="cellIs" dxfId="65" priority="66" operator="equal">
      <formula>"microsoft"</formula>
    </cfRule>
  </conditionalFormatting>
  <conditionalFormatting sqref="GF12:GO38">
    <cfRule type="cellIs" dxfId="64" priority="65" operator="equal">
      <formula>"institution"</formula>
    </cfRule>
  </conditionalFormatting>
  <conditionalFormatting sqref="GF14:GO15">
    <cfRule type="cellIs" dxfId="63" priority="64" operator="equal">
      <formula>"server"</formula>
    </cfRule>
  </conditionalFormatting>
  <conditionalFormatting sqref="GF14:GO15">
    <cfRule type="cellIs" dxfId="62" priority="63" operator="equal">
      <formula>"network"</formula>
    </cfRule>
  </conditionalFormatting>
  <conditionalFormatting sqref="GF14:GO15">
    <cfRule type="cellIs" dxfId="61" priority="61" operator="equal">
      <formula>"user"</formula>
    </cfRule>
    <cfRule type="cellIs" dxfId="60" priority="62" operator="equal">
      <formula>"access"</formula>
    </cfRule>
  </conditionalFormatting>
  <conditionalFormatting sqref="GF14:GO15">
    <cfRule type="cellIs" dxfId="59" priority="60" operator="equal">
      <formula>"employee"</formula>
    </cfRule>
  </conditionalFormatting>
  <conditionalFormatting sqref="GF14:GO15">
    <cfRule type="cellIs" dxfId="58" priority="59" operator="equal">
      <formula>"secure"</formula>
    </cfRule>
  </conditionalFormatting>
  <conditionalFormatting sqref="GF14:GO15">
    <cfRule type="cellIs" dxfId="57" priority="58" operator="equal">
      <formula>"microsoft"</formula>
    </cfRule>
  </conditionalFormatting>
  <conditionalFormatting sqref="GF14:GO38">
    <cfRule type="cellIs" dxfId="56" priority="57" operator="equal">
      <formula>"addition"</formula>
    </cfRule>
  </conditionalFormatting>
  <conditionalFormatting sqref="GF16:GO16">
    <cfRule type="cellIs" dxfId="55" priority="56" operator="equal">
      <formula>"access"</formula>
    </cfRule>
  </conditionalFormatting>
  <conditionalFormatting sqref="GF16:GO16">
    <cfRule type="cellIs" dxfId="54" priority="55" operator="equal">
      <formula>"employee"</formula>
    </cfRule>
  </conditionalFormatting>
  <conditionalFormatting sqref="GF16:GO16">
    <cfRule type="cellIs" dxfId="53" priority="54" operator="equal">
      <formula>"secure"</formula>
    </cfRule>
  </conditionalFormatting>
  <conditionalFormatting sqref="GF16:GO16">
    <cfRule type="cellIs" dxfId="52" priority="53" operator="equal">
      <formula>"microsoft"</formula>
    </cfRule>
  </conditionalFormatting>
  <conditionalFormatting sqref="GF16:GO16">
    <cfRule type="cellIs" dxfId="51" priority="52" operator="equal">
      <formula>"network"</formula>
    </cfRule>
  </conditionalFormatting>
  <conditionalFormatting sqref="GF16:GO16">
    <cfRule type="cellIs" dxfId="50" priority="51" operator="equal">
      <formula>"server"</formula>
    </cfRule>
  </conditionalFormatting>
  <conditionalFormatting sqref="GF17:GO18">
    <cfRule type="cellIs" dxfId="49" priority="50" operator="equal">
      <formula>"server"</formula>
    </cfRule>
  </conditionalFormatting>
  <conditionalFormatting sqref="GF17:GO18">
    <cfRule type="cellIs" dxfId="48" priority="48" operator="equal">
      <formula>"user"</formula>
    </cfRule>
    <cfRule type="cellIs" dxfId="47" priority="49" operator="equal">
      <formula>"access"</formula>
    </cfRule>
  </conditionalFormatting>
  <conditionalFormatting sqref="GF17:GO18">
    <cfRule type="cellIs" dxfId="46" priority="47" operator="equal">
      <formula>"employee"</formula>
    </cfRule>
  </conditionalFormatting>
  <conditionalFormatting sqref="GF17:GO18">
    <cfRule type="cellIs" dxfId="45" priority="46" operator="equal">
      <formula>"secure"</formula>
    </cfRule>
  </conditionalFormatting>
  <conditionalFormatting sqref="GF17:GO18">
    <cfRule type="cellIs" dxfId="44" priority="45" operator="equal">
      <formula>"microsoft"</formula>
    </cfRule>
  </conditionalFormatting>
  <conditionalFormatting sqref="GF17:GO18">
    <cfRule type="cellIs" dxfId="43" priority="44" operator="equal">
      <formula>"network"</formula>
    </cfRule>
  </conditionalFormatting>
  <conditionalFormatting sqref="GF19:GO19">
    <cfRule type="cellIs" dxfId="42" priority="42" operator="equal">
      <formula>"user"</formula>
    </cfRule>
    <cfRule type="cellIs" dxfId="41" priority="43" operator="equal">
      <formula>"access"</formula>
    </cfRule>
  </conditionalFormatting>
  <conditionalFormatting sqref="GF19:GO19">
    <cfRule type="cellIs" dxfId="40" priority="41" operator="equal">
      <formula>"employee"</formula>
    </cfRule>
  </conditionalFormatting>
  <conditionalFormatting sqref="GF19:GO19">
    <cfRule type="cellIs" dxfId="39" priority="40" operator="equal">
      <formula>"secure"</formula>
    </cfRule>
  </conditionalFormatting>
  <conditionalFormatting sqref="GF19:GO19">
    <cfRule type="cellIs" dxfId="38" priority="39" operator="equal">
      <formula>"microsoft"</formula>
    </cfRule>
  </conditionalFormatting>
  <conditionalFormatting sqref="GF19:GO19">
    <cfRule type="cellIs" dxfId="37" priority="38" operator="equal">
      <formula>"network"</formula>
    </cfRule>
  </conditionalFormatting>
  <conditionalFormatting sqref="GF19:GO19">
    <cfRule type="cellIs" dxfId="36" priority="37" operator="equal">
      <formula>"server"</formula>
    </cfRule>
  </conditionalFormatting>
  <conditionalFormatting sqref="GF20:GO29">
    <cfRule type="cellIs" dxfId="35" priority="35" operator="equal">
      <formula>"user"</formula>
    </cfRule>
    <cfRule type="cellIs" dxfId="34" priority="36" operator="equal">
      <formula>"access"</formula>
    </cfRule>
  </conditionalFormatting>
  <conditionalFormatting sqref="GF20:GO29">
    <cfRule type="cellIs" dxfId="33" priority="34" operator="equal">
      <formula>"access"</formula>
    </cfRule>
  </conditionalFormatting>
  <conditionalFormatting sqref="GF20:GO29">
    <cfRule type="cellIs" dxfId="32" priority="32" operator="equal">
      <formula>"user"</formula>
    </cfRule>
    <cfRule type="cellIs" dxfId="31" priority="33" operator="equal">
      <formula>"access"</formula>
    </cfRule>
  </conditionalFormatting>
  <conditionalFormatting sqref="GF20:GO29">
    <cfRule type="cellIs" dxfId="30" priority="31" operator="equal">
      <formula>"employee"</formula>
    </cfRule>
  </conditionalFormatting>
  <conditionalFormatting sqref="GF20:GO29">
    <cfRule type="cellIs" dxfId="29" priority="30" operator="equal">
      <formula>"secure"</formula>
    </cfRule>
  </conditionalFormatting>
  <conditionalFormatting sqref="GF20:GO29">
    <cfRule type="cellIs" dxfId="28" priority="29" operator="equal">
      <formula>"microsoft"</formula>
    </cfRule>
  </conditionalFormatting>
  <conditionalFormatting sqref="GF20:GO29">
    <cfRule type="cellIs" dxfId="27" priority="28" operator="equal">
      <formula>"network"</formula>
    </cfRule>
  </conditionalFormatting>
  <conditionalFormatting sqref="GF20:GO29">
    <cfRule type="cellIs" dxfId="26" priority="27" operator="equal">
      <formula>"server"</formula>
    </cfRule>
  </conditionalFormatting>
  <conditionalFormatting sqref="GF30:GO30">
    <cfRule type="cellIs" dxfId="25" priority="25" operator="equal">
      <formula>"user"</formula>
    </cfRule>
    <cfRule type="cellIs" dxfId="24" priority="26" operator="equal">
      <formula>"access"</formula>
    </cfRule>
  </conditionalFormatting>
  <conditionalFormatting sqref="GF30:GO30">
    <cfRule type="cellIs" dxfId="23" priority="24" operator="equal">
      <formula>"employee"</formula>
    </cfRule>
  </conditionalFormatting>
  <conditionalFormatting sqref="GF30:GO30">
    <cfRule type="cellIs" dxfId="22" priority="23" operator="equal">
      <formula>"secure"</formula>
    </cfRule>
  </conditionalFormatting>
  <conditionalFormatting sqref="GF30:GO30">
    <cfRule type="cellIs" dxfId="21" priority="22" operator="equal">
      <formula>"microsoft"</formula>
    </cfRule>
  </conditionalFormatting>
  <conditionalFormatting sqref="GF30:GO30">
    <cfRule type="cellIs" dxfId="20" priority="21" operator="equal">
      <formula>"network"</formula>
    </cfRule>
  </conditionalFormatting>
  <conditionalFormatting sqref="GF30:GO30">
    <cfRule type="cellIs" dxfId="19" priority="20" operator="equal">
      <formula>"server"</formula>
    </cfRule>
  </conditionalFormatting>
  <conditionalFormatting sqref="GF31:GO33">
    <cfRule type="cellIs" dxfId="18" priority="18" operator="equal">
      <formula>"user"</formula>
    </cfRule>
    <cfRule type="cellIs" dxfId="17" priority="19" operator="equal">
      <formula>"access"</formula>
    </cfRule>
  </conditionalFormatting>
  <conditionalFormatting sqref="GF31:GO33">
    <cfRule type="cellIs" dxfId="16" priority="17" operator="equal">
      <formula>"employee"</formula>
    </cfRule>
  </conditionalFormatting>
  <conditionalFormatting sqref="GF31:GO33">
    <cfRule type="cellIs" dxfId="15" priority="16" operator="equal">
      <formula>"secure"</formula>
    </cfRule>
  </conditionalFormatting>
  <conditionalFormatting sqref="GF31:GO33">
    <cfRule type="cellIs" dxfId="14" priority="15" operator="equal">
      <formula>"microsoft"</formula>
    </cfRule>
  </conditionalFormatting>
  <conditionalFormatting sqref="GF31:GO33">
    <cfRule type="cellIs" dxfId="13" priority="14" operator="equal">
      <formula>"network"</formula>
    </cfRule>
  </conditionalFormatting>
  <conditionalFormatting sqref="GF31:GO33">
    <cfRule type="cellIs" dxfId="12" priority="13" operator="equal">
      <formula>"server"</formula>
    </cfRule>
  </conditionalFormatting>
  <conditionalFormatting sqref="GF35:GO38">
    <cfRule type="cellIs" dxfId="11" priority="1" operator="equal">
      <formula>"server"</formula>
    </cfRule>
  </conditionalFormatting>
  <conditionalFormatting sqref="GF34:GO34">
    <cfRule type="cellIs" dxfId="10" priority="12" operator="equal">
      <formula>"access"</formula>
    </cfRule>
  </conditionalFormatting>
  <conditionalFormatting sqref="GF34:GO34">
    <cfRule type="cellIs" dxfId="9" priority="11" operator="equal">
      <formula>"employee"</formula>
    </cfRule>
  </conditionalFormatting>
  <conditionalFormatting sqref="GF34:GO34">
    <cfRule type="cellIs" dxfId="8" priority="10" operator="equal">
      <formula>"secure"</formula>
    </cfRule>
  </conditionalFormatting>
  <conditionalFormatting sqref="GF34:GO34">
    <cfRule type="cellIs" dxfId="7" priority="9" operator="equal">
      <formula>"microsoft"</formula>
    </cfRule>
  </conditionalFormatting>
  <conditionalFormatting sqref="GF34:GO34">
    <cfRule type="cellIs" dxfId="6" priority="8" operator="equal">
      <formula>"network"</formula>
    </cfRule>
  </conditionalFormatting>
  <conditionalFormatting sqref="GF34:GO34">
    <cfRule type="cellIs" dxfId="5" priority="7" operator="equal">
      <formula>"server"</formula>
    </cfRule>
  </conditionalFormatting>
  <conditionalFormatting sqref="GF35:GO38">
    <cfRule type="cellIs" dxfId="4" priority="6" operator="equal">
      <formula>"access"</formula>
    </cfRule>
  </conditionalFormatting>
  <conditionalFormatting sqref="GF35:GO38">
    <cfRule type="cellIs" dxfId="3" priority="5" operator="equal">
      <formula>"employee"</formula>
    </cfRule>
  </conditionalFormatting>
  <conditionalFormatting sqref="GF35:GO38">
    <cfRule type="cellIs" dxfId="2" priority="4" operator="equal">
      <formula>"secure"</formula>
    </cfRule>
  </conditionalFormatting>
  <conditionalFormatting sqref="GF35:GO38">
    <cfRule type="cellIs" dxfId="1" priority="3" operator="equal">
      <formula>"microsoft"</formula>
    </cfRule>
  </conditionalFormatting>
  <conditionalFormatting sqref="GF35:GO38">
    <cfRule type="cellIs" dxfId="0" priority="2" operator="equal">
      <formula>"network"</formula>
    </cfRule>
  </conditionalFormatting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583F-ED9D-41B1-A31C-C0AFBC20964D}">
  <dimension ref="A1:B27"/>
  <sheetViews>
    <sheetView workbookViewId="0">
      <selection activeCell="E18" sqref="E18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3</v>
      </c>
    </row>
    <row r="3" spans="1:2" x14ac:dyDescent="0.25">
      <c r="A3" t="s">
        <v>86</v>
      </c>
      <c r="B3">
        <v>2</v>
      </c>
    </row>
    <row r="4" spans="1:2" x14ac:dyDescent="0.25">
      <c r="A4" t="s">
        <v>8</v>
      </c>
      <c r="B4">
        <v>2</v>
      </c>
    </row>
    <row r="5" spans="1:2" x14ac:dyDescent="0.25">
      <c r="A5" t="s">
        <v>83</v>
      </c>
      <c r="B5">
        <v>1</v>
      </c>
    </row>
    <row r="6" spans="1:2" x14ac:dyDescent="0.25">
      <c r="A6" t="s">
        <v>42</v>
      </c>
      <c r="B6">
        <v>1</v>
      </c>
    </row>
    <row r="7" spans="1:2" x14ac:dyDescent="0.25">
      <c r="A7" t="s">
        <v>57</v>
      </c>
      <c r="B7">
        <v>1</v>
      </c>
    </row>
    <row r="8" spans="1:2" x14ac:dyDescent="0.25">
      <c r="A8" t="s">
        <v>87</v>
      </c>
      <c r="B8">
        <v>1</v>
      </c>
    </row>
    <row r="9" spans="1:2" x14ac:dyDescent="0.25">
      <c r="A9" t="s">
        <v>105</v>
      </c>
      <c r="B9">
        <v>1</v>
      </c>
    </row>
    <row r="10" spans="1:2" x14ac:dyDescent="0.25">
      <c r="A10" t="s">
        <v>286</v>
      </c>
      <c r="B10">
        <v>1</v>
      </c>
    </row>
    <row r="11" spans="1:2" x14ac:dyDescent="0.25">
      <c r="A11" t="s">
        <v>2</v>
      </c>
      <c r="B11">
        <v>1</v>
      </c>
    </row>
    <row r="12" spans="1:2" x14ac:dyDescent="0.25">
      <c r="A12" t="s">
        <v>85</v>
      </c>
      <c r="B12">
        <v>1</v>
      </c>
    </row>
    <row r="13" spans="1:2" x14ac:dyDescent="0.25">
      <c r="A13" t="s">
        <v>5</v>
      </c>
      <c r="B13">
        <v>1</v>
      </c>
    </row>
    <row r="14" spans="1:2" x14ac:dyDescent="0.25">
      <c r="A14" t="s">
        <v>285</v>
      </c>
      <c r="B14">
        <v>1</v>
      </c>
    </row>
    <row r="15" spans="1:2" x14ac:dyDescent="0.25">
      <c r="A15" t="s">
        <v>62</v>
      </c>
      <c r="B15">
        <v>1</v>
      </c>
    </row>
    <row r="16" spans="1:2" x14ac:dyDescent="0.25">
      <c r="A16" t="s">
        <v>118</v>
      </c>
      <c r="B16">
        <v>1</v>
      </c>
    </row>
    <row r="17" spans="1:2" x14ac:dyDescent="0.25">
      <c r="A17" t="s">
        <v>288</v>
      </c>
      <c r="B17">
        <v>1</v>
      </c>
    </row>
    <row r="18" spans="1:2" x14ac:dyDescent="0.25">
      <c r="A18" t="s">
        <v>84</v>
      </c>
      <c r="B18">
        <v>1</v>
      </c>
    </row>
    <row r="19" spans="1:2" x14ac:dyDescent="0.25">
      <c r="A19" t="s">
        <v>56</v>
      </c>
      <c r="B19">
        <v>1</v>
      </c>
    </row>
    <row r="20" spans="1:2" x14ac:dyDescent="0.25">
      <c r="A20" t="s">
        <v>88</v>
      </c>
      <c r="B20">
        <v>1</v>
      </c>
    </row>
    <row r="21" spans="1:2" x14ac:dyDescent="0.25">
      <c r="A21" t="s">
        <v>117</v>
      </c>
      <c r="B21">
        <v>1</v>
      </c>
    </row>
    <row r="22" spans="1:2" x14ac:dyDescent="0.25">
      <c r="A22" t="s">
        <v>287</v>
      </c>
      <c r="B22">
        <v>1</v>
      </c>
    </row>
    <row r="23" spans="1:2" x14ac:dyDescent="0.25">
      <c r="A23" t="s">
        <v>43</v>
      </c>
      <c r="B23">
        <v>1</v>
      </c>
    </row>
    <row r="24" spans="1:2" x14ac:dyDescent="0.25">
      <c r="A24" t="s">
        <v>116</v>
      </c>
      <c r="B24">
        <v>1</v>
      </c>
    </row>
    <row r="25" spans="1:2" x14ac:dyDescent="0.25">
      <c r="A25" t="s">
        <v>175</v>
      </c>
      <c r="B25">
        <v>1</v>
      </c>
    </row>
    <row r="26" spans="1:2" x14ac:dyDescent="0.25">
      <c r="A26" t="s">
        <v>119</v>
      </c>
      <c r="B26">
        <v>1</v>
      </c>
    </row>
    <row r="27" spans="1:2" x14ac:dyDescent="0.25">
      <c r="A27" t="s">
        <v>24</v>
      </c>
      <c r="B27">
        <v>1</v>
      </c>
    </row>
  </sheetData>
  <conditionalFormatting sqref="A2:A27">
    <cfRule type="cellIs" dxfId="251" priority="27" operator="equal">
      <formula>"server"</formula>
    </cfRule>
  </conditionalFormatting>
  <conditionalFormatting sqref="A2:A27">
    <cfRule type="cellIs" dxfId="250" priority="25" operator="equal">
      <formula>"user"</formula>
    </cfRule>
    <cfRule type="cellIs" dxfId="249" priority="26" operator="equal">
      <formula>"access"</formula>
    </cfRule>
  </conditionalFormatting>
  <conditionalFormatting sqref="A2:A27">
    <cfRule type="cellIs" dxfId="248" priority="24" operator="equal">
      <formula>"employee"</formula>
    </cfRule>
  </conditionalFormatting>
  <conditionalFormatting sqref="A2:A27">
    <cfRule type="cellIs" dxfId="247" priority="23" operator="equal">
      <formula>"secure"</formula>
    </cfRule>
  </conditionalFormatting>
  <conditionalFormatting sqref="A2:A27">
    <cfRule type="cellIs" dxfId="246" priority="22" operator="equal">
      <formula>"microsoft"</formula>
    </cfRule>
  </conditionalFormatting>
  <conditionalFormatting sqref="A2:A27">
    <cfRule type="cellIs" dxfId="245" priority="21" operator="equal">
      <formula>"network"</formula>
    </cfRule>
  </conditionalFormatting>
  <conditionalFormatting sqref="A2:A27">
    <cfRule type="cellIs" dxfId="244" priority="20" operator="equal">
      <formula>"addition"</formula>
    </cfRule>
  </conditionalFormatting>
  <conditionalFormatting sqref="A2:A27">
    <cfRule type="cellIs" dxfId="243" priority="19" operator="equal">
      <formula>"institution"</formula>
    </cfRule>
  </conditionalFormatting>
  <conditionalFormatting sqref="A2:A27">
    <cfRule type="cellIs" dxfId="242" priority="13" operator="equal">
      <formula>"customer"</formula>
    </cfRule>
  </conditionalFormatting>
  <conditionalFormatting sqref="A2:A27">
    <cfRule type="cellIs" dxfId="241" priority="12" operator="equal">
      <formula>"planning"</formula>
    </cfRule>
  </conditionalFormatting>
  <conditionalFormatting sqref="A1">
    <cfRule type="cellIs" dxfId="240" priority="11" operator="equal">
      <formula>"server"</formula>
    </cfRule>
  </conditionalFormatting>
  <conditionalFormatting sqref="A1">
    <cfRule type="cellIs" dxfId="239" priority="9" operator="equal">
      <formula>"user"</formula>
    </cfRule>
    <cfRule type="cellIs" dxfId="238" priority="10" operator="equal">
      <formula>"access"</formula>
    </cfRule>
  </conditionalFormatting>
  <conditionalFormatting sqref="A1">
    <cfRule type="cellIs" dxfId="237" priority="8" operator="equal">
      <formula>"employee"</formula>
    </cfRule>
  </conditionalFormatting>
  <conditionalFormatting sqref="A1">
    <cfRule type="cellIs" dxfId="236" priority="7" operator="equal">
      <formula>"secure"</formula>
    </cfRule>
  </conditionalFormatting>
  <conditionalFormatting sqref="A1">
    <cfRule type="cellIs" dxfId="235" priority="6" operator="equal">
      <formula>"microsoft"</formula>
    </cfRule>
  </conditionalFormatting>
  <conditionalFormatting sqref="A1">
    <cfRule type="cellIs" dxfId="234" priority="5" operator="equal">
      <formula>"network"</formula>
    </cfRule>
  </conditionalFormatting>
  <conditionalFormatting sqref="A1">
    <cfRule type="cellIs" dxfId="233" priority="4" operator="equal">
      <formula>"addition"</formula>
    </cfRule>
  </conditionalFormatting>
  <conditionalFormatting sqref="A1">
    <cfRule type="cellIs" dxfId="232" priority="3" operator="equal">
      <formula>"institution"</formula>
    </cfRule>
  </conditionalFormatting>
  <conditionalFormatting sqref="A1">
    <cfRule type="cellIs" dxfId="231" priority="2" operator="equal">
      <formula>"customer"</formula>
    </cfRule>
  </conditionalFormatting>
  <conditionalFormatting sqref="A1">
    <cfRule type="cellIs" dxfId="230" priority="1" operator="equal">
      <formula>"planning"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1BDB8-5E89-44F4-B878-4AD17DAACC51}">
  <dimension ref="A1:G40"/>
  <sheetViews>
    <sheetView workbookViewId="0">
      <selection activeCell="A7" sqref="A7"/>
    </sheetView>
  </sheetViews>
  <sheetFormatPr baseColWidth="10" defaultRowHeight="15" x14ac:dyDescent="0.25"/>
  <sheetData>
    <row r="1" spans="1:7" x14ac:dyDescent="0.25">
      <c r="A1" t="s">
        <v>393</v>
      </c>
      <c r="B1" t="s">
        <v>394</v>
      </c>
      <c r="G1">
        <f>34/5</f>
        <v>6.8</v>
      </c>
    </row>
    <row r="2" spans="1:7" x14ac:dyDescent="0.25">
      <c r="A2" t="s">
        <v>26</v>
      </c>
      <c r="B2">
        <v>5</v>
      </c>
    </row>
    <row r="3" spans="1:7" x14ac:dyDescent="0.25">
      <c r="A3" t="s">
        <v>62</v>
      </c>
      <c r="B3">
        <v>3</v>
      </c>
    </row>
    <row r="4" spans="1:7" x14ac:dyDescent="0.25">
      <c r="A4" t="s">
        <v>42</v>
      </c>
      <c r="B4">
        <v>2</v>
      </c>
    </row>
    <row r="5" spans="1:7" x14ac:dyDescent="0.25">
      <c r="A5" t="s">
        <v>43</v>
      </c>
      <c r="B5">
        <v>2</v>
      </c>
    </row>
    <row r="6" spans="1:7" x14ac:dyDescent="0.25">
      <c r="A6" t="s">
        <v>8</v>
      </c>
      <c r="B6">
        <v>2</v>
      </c>
    </row>
    <row r="7" spans="1:7" x14ac:dyDescent="0.25">
      <c r="A7" t="s">
        <v>25</v>
      </c>
      <c r="B7">
        <v>2</v>
      </c>
    </row>
    <row r="8" spans="1:7" x14ac:dyDescent="0.25">
      <c r="A8" t="s">
        <v>86</v>
      </c>
      <c r="B8">
        <v>2</v>
      </c>
    </row>
    <row r="9" spans="1:7" x14ac:dyDescent="0.25">
      <c r="A9" t="s">
        <v>388</v>
      </c>
      <c r="B9">
        <v>1</v>
      </c>
    </row>
    <row r="10" spans="1:7" x14ac:dyDescent="0.25">
      <c r="A10" t="s">
        <v>83</v>
      </c>
      <c r="B10">
        <v>1</v>
      </c>
    </row>
    <row r="11" spans="1:7" x14ac:dyDescent="0.25">
      <c r="A11" t="s">
        <v>57</v>
      </c>
      <c r="B11">
        <v>1</v>
      </c>
    </row>
    <row r="12" spans="1:7" x14ac:dyDescent="0.25">
      <c r="A12" t="s">
        <v>78</v>
      </c>
      <c r="B12">
        <v>1</v>
      </c>
    </row>
    <row r="13" spans="1:7" x14ac:dyDescent="0.25">
      <c r="A13" t="s">
        <v>389</v>
      </c>
      <c r="B13">
        <v>1</v>
      </c>
    </row>
    <row r="14" spans="1:7" x14ac:dyDescent="0.25">
      <c r="A14" t="s">
        <v>87</v>
      </c>
      <c r="B14">
        <v>1</v>
      </c>
    </row>
    <row r="15" spans="1:7" x14ac:dyDescent="0.25">
      <c r="A15" t="s">
        <v>105</v>
      </c>
      <c r="B15">
        <v>1</v>
      </c>
    </row>
    <row r="16" spans="1:7" x14ac:dyDescent="0.25">
      <c r="A16" t="s">
        <v>286</v>
      </c>
      <c r="B16">
        <v>1</v>
      </c>
    </row>
    <row r="17" spans="1:2" x14ac:dyDescent="0.25">
      <c r="A17" t="s">
        <v>80</v>
      </c>
      <c r="B17">
        <v>1</v>
      </c>
    </row>
    <row r="18" spans="1:2" x14ac:dyDescent="0.25">
      <c r="A18" t="s">
        <v>188</v>
      </c>
      <c r="B18">
        <v>1</v>
      </c>
    </row>
    <row r="19" spans="1:2" x14ac:dyDescent="0.25">
      <c r="A19" t="s">
        <v>85</v>
      </c>
      <c r="B19">
        <v>1</v>
      </c>
    </row>
    <row r="20" spans="1:2" x14ac:dyDescent="0.25">
      <c r="A20" t="s">
        <v>5</v>
      </c>
      <c r="B20">
        <v>1</v>
      </c>
    </row>
    <row r="21" spans="1:2" x14ac:dyDescent="0.25">
      <c r="A21" t="s">
        <v>285</v>
      </c>
      <c r="B21">
        <v>1</v>
      </c>
    </row>
    <row r="22" spans="1:2" x14ac:dyDescent="0.25">
      <c r="A22" t="s">
        <v>6</v>
      </c>
      <c r="B22">
        <v>1</v>
      </c>
    </row>
    <row r="23" spans="1:2" x14ac:dyDescent="0.25">
      <c r="A23" t="s">
        <v>182</v>
      </c>
      <c r="B23">
        <v>1</v>
      </c>
    </row>
    <row r="24" spans="1:2" x14ac:dyDescent="0.25">
      <c r="A24" t="s">
        <v>118</v>
      </c>
      <c r="B24">
        <v>1</v>
      </c>
    </row>
    <row r="25" spans="1:2" x14ac:dyDescent="0.25">
      <c r="A25" t="s">
        <v>288</v>
      </c>
      <c r="B25">
        <v>1</v>
      </c>
    </row>
    <row r="26" spans="1:2" x14ac:dyDescent="0.25">
      <c r="A26" t="s">
        <v>116</v>
      </c>
      <c r="B26">
        <v>1</v>
      </c>
    </row>
    <row r="27" spans="1:2" x14ac:dyDescent="0.25">
      <c r="A27" t="s">
        <v>175</v>
      </c>
      <c r="B27">
        <v>1</v>
      </c>
    </row>
    <row r="28" spans="1:2" x14ac:dyDescent="0.25">
      <c r="A28" t="s">
        <v>79</v>
      </c>
      <c r="B28">
        <v>1</v>
      </c>
    </row>
    <row r="29" spans="1:2" x14ac:dyDescent="0.25">
      <c r="A29" t="s">
        <v>390</v>
      </c>
      <c r="B29">
        <v>1</v>
      </c>
    </row>
    <row r="30" spans="1:2" x14ac:dyDescent="0.25">
      <c r="A30" t="s">
        <v>119</v>
      </c>
      <c r="B30">
        <v>1</v>
      </c>
    </row>
    <row r="31" spans="1:2" x14ac:dyDescent="0.25">
      <c r="A31" t="s">
        <v>24</v>
      </c>
      <c r="B31">
        <v>1</v>
      </c>
    </row>
    <row r="32" spans="1:2" x14ac:dyDescent="0.25">
      <c r="A32" t="s">
        <v>81</v>
      </c>
      <c r="B32">
        <v>1</v>
      </c>
    </row>
    <row r="33" spans="1:2" x14ac:dyDescent="0.25">
      <c r="A33" t="s">
        <v>132</v>
      </c>
      <c r="B33">
        <v>1</v>
      </c>
    </row>
    <row r="34" spans="1:2" x14ac:dyDescent="0.25">
      <c r="A34" t="s">
        <v>84</v>
      </c>
      <c r="B34">
        <v>1</v>
      </c>
    </row>
    <row r="35" spans="1:2" x14ac:dyDescent="0.25">
      <c r="A35" t="s">
        <v>56</v>
      </c>
      <c r="B35">
        <v>1</v>
      </c>
    </row>
    <row r="36" spans="1:2" x14ac:dyDescent="0.25">
      <c r="A36" t="s">
        <v>88</v>
      </c>
      <c r="B36">
        <v>1</v>
      </c>
    </row>
    <row r="37" spans="1:2" x14ac:dyDescent="0.25">
      <c r="A37" t="s">
        <v>117</v>
      </c>
      <c r="B37">
        <v>1</v>
      </c>
    </row>
    <row r="38" spans="1:2" x14ac:dyDescent="0.25">
      <c r="A38" t="s">
        <v>287</v>
      </c>
      <c r="B38">
        <v>1</v>
      </c>
    </row>
    <row r="39" spans="1:2" x14ac:dyDescent="0.25">
      <c r="A39" t="s">
        <v>139</v>
      </c>
      <c r="B39">
        <v>1</v>
      </c>
    </row>
    <row r="40" spans="1:2" x14ac:dyDescent="0.25">
      <c r="A40" t="s">
        <v>2</v>
      </c>
      <c r="B40">
        <v>1</v>
      </c>
    </row>
  </sheetData>
  <conditionalFormatting sqref="A2:A40">
    <cfRule type="cellIs" dxfId="229" priority="37" operator="equal">
      <formula>"user"</formula>
    </cfRule>
    <cfRule type="cellIs" dxfId="228" priority="38" operator="equal">
      <formula>"access"</formula>
    </cfRule>
  </conditionalFormatting>
  <conditionalFormatting sqref="A2:A40">
    <cfRule type="cellIs" dxfId="227" priority="36" operator="equal">
      <formula>"employee"</formula>
    </cfRule>
  </conditionalFormatting>
  <conditionalFormatting sqref="A2:A40">
    <cfRule type="cellIs" dxfId="226" priority="35" operator="equal">
      <formula>"secure"</formula>
    </cfRule>
  </conditionalFormatting>
  <conditionalFormatting sqref="A2:A40">
    <cfRule type="cellIs" dxfId="225" priority="34" operator="equal">
      <formula>"microsoft"</formula>
    </cfRule>
  </conditionalFormatting>
  <conditionalFormatting sqref="A2:A40">
    <cfRule type="cellIs" dxfId="224" priority="33" operator="equal">
      <formula>"network"</formula>
    </cfRule>
  </conditionalFormatting>
  <conditionalFormatting sqref="A2:A40">
    <cfRule type="cellIs" dxfId="223" priority="32" operator="equal">
      <formula>"server"</formula>
    </cfRule>
  </conditionalFormatting>
  <conditionalFormatting sqref="A2:A40">
    <cfRule type="cellIs" dxfId="222" priority="25" operator="equal">
      <formula>"addition"</formula>
    </cfRule>
  </conditionalFormatting>
  <conditionalFormatting sqref="A2:A40">
    <cfRule type="cellIs" dxfId="221" priority="24" operator="equal">
      <formula>"institution"</formula>
    </cfRule>
  </conditionalFormatting>
  <conditionalFormatting sqref="A2:A40">
    <cfRule type="cellIs" dxfId="220" priority="18" operator="equal">
      <formula>"customer"</formula>
    </cfRule>
  </conditionalFormatting>
  <conditionalFormatting sqref="A1">
    <cfRule type="cellIs" dxfId="219" priority="9" operator="equal">
      <formula>"user"</formula>
    </cfRule>
    <cfRule type="cellIs" dxfId="218" priority="10" operator="equal">
      <formula>"access"</formula>
    </cfRule>
  </conditionalFormatting>
  <conditionalFormatting sqref="A1">
    <cfRule type="cellIs" dxfId="217" priority="8" operator="equal">
      <formula>"employee"</formula>
    </cfRule>
  </conditionalFormatting>
  <conditionalFormatting sqref="A1">
    <cfRule type="cellIs" dxfId="216" priority="7" operator="equal">
      <formula>"secure"</formula>
    </cfRule>
  </conditionalFormatting>
  <conditionalFormatting sqref="A1">
    <cfRule type="cellIs" dxfId="215" priority="6" operator="equal">
      <formula>"microsoft"</formula>
    </cfRule>
  </conditionalFormatting>
  <conditionalFormatting sqref="A1">
    <cfRule type="cellIs" dxfId="214" priority="5" operator="equal">
      <formula>"network"</formula>
    </cfRule>
  </conditionalFormatting>
  <conditionalFormatting sqref="A1">
    <cfRule type="cellIs" dxfId="213" priority="4" operator="equal">
      <formula>"server"</formula>
    </cfRule>
  </conditionalFormatting>
  <conditionalFormatting sqref="A1">
    <cfRule type="cellIs" dxfId="212" priority="3" operator="equal">
      <formula>"addition"</formula>
    </cfRule>
  </conditionalFormatting>
  <conditionalFormatting sqref="A1">
    <cfRule type="cellIs" dxfId="211" priority="2" operator="equal">
      <formula>"institution"</formula>
    </cfRule>
  </conditionalFormatting>
  <conditionalFormatting sqref="A1">
    <cfRule type="cellIs" dxfId="210" priority="1" operator="equal">
      <formula>"customer"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C2FF-4822-4CFB-BD7A-A4667B733FF5}">
  <dimension ref="A1:F48"/>
  <sheetViews>
    <sheetView workbookViewId="0">
      <selection activeCell="A5" sqref="A5"/>
    </sheetView>
  </sheetViews>
  <sheetFormatPr baseColWidth="10" defaultRowHeight="15" x14ac:dyDescent="0.25"/>
  <sheetData>
    <row r="1" spans="1:6" x14ac:dyDescent="0.25">
      <c r="A1" t="s">
        <v>393</v>
      </c>
      <c r="B1" t="s">
        <v>394</v>
      </c>
      <c r="F1">
        <f>42/5</f>
        <v>8.4</v>
      </c>
    </row>
    <row r="2" spans="1:6" x14ac:dyDescent="0.25">
      <c r="A2" t="s">
        <v>26</v>
      </c>
      <c r="B2">
        <v>6</v>
      </c>
    </row>
    <row r="3" spans="1:6" x14ac:dyDescent="0.25">
      <c r="A3" t="s">
        <v>62</v>
      </c>
      <c r="B3">
        <v>3</v>
      </c>
    </row>
    <row r="4" spans="1:6" x14ac:dyDescent="0.25">
      <c r="A4" t="s">
        <v>42</v>
      </c>
      <c r="B4">
        <v>2</v>
      </c>
    </row>
    <row r="5" spans="1:6" x14ac:dyDescent="0.25">
      <c r="A5" t="s">
        <v>324</v>
      </c>
      <c r="B5">
        <v>2</v>
      </c>
    </row>
    <row r="6" spans="1:6" x14ac:dyDescent="0.25">
      <c r="A6" t="s">
        <v>25</v>
      </c>
      <c r="B6">
        <v>2</v>
      </c>
    </row>
    <row r="7" spans="1:6" x14ac:dyDescent="0.25">
      <c r="A7" t="s">
        <v>86</v>
      </c>
      <c r="B7">
        <v>2</v>
      </c>
    </row>
    <row r="8" spans="1:6" x14ac:dyDescent="0.25">
      <c r="A8" t="s">
        <v>8</v>
      </c>
      <c r="B8">
        <v>2</v>
      </c>
    </row>
    <row r="9" spans="1:6" x14ac:dyDescent="0.25">
      <c r="A9" t="s">
        <v>43</v>
      </c>
      <c r="B9">
        <v>2</v>
      </c>
    </row>
    <row r="10" spans="1:6" x14ac:dyDescent="0.25">
      <c r="A10" t="s">
        <v>388</v>
      </c>
      <c r="B10">
        <v>1</v>
      </c>
    </row>
    <row r="11" spans="1:6" x14ac:dyDescent="0.25">
      <c r="A11" t="s">
        <v>83</v>
      </c>
      <c r="B11">
        <v>1</v>
      </c>
    </row>
    <row r="12" spans="1:6" x14ac:dyDescent="0.25">
      <c r="A12" t="s">
        <v>57</v>
      </c>
      <c r="B12">
        <v>1</v>
      </c>
    </row>
    <row r="13" spans="1:6" x14ac:dyDescent="0.25">
      <c r="A13" t="s">
        <v>318</v>
      </c>
      <c r="B13">
        <v>1</v>
      </c>
    </row>
    <row r="14" spans="1:6" x14ac:dyDescent="0.25">
      <c r="A14" t="s">
        <v>78</v>
      </c>
      <c r="B14">
        <v>1</v>
      </c>
    </row>
    <row r="15" spans="1:6" x14ac:dyDescent="0.25">
      <c r="A15" t="s">
        <v>389</v>
      </c>
      <c r="B15">
        <v>1</v>
      </c>
    </row>
    <row r="16" spans="1:6" x14ac:dyDescent="0.25">
      <c r="A16" t="s">
        <v>87</v>
      </c>
      <c r="B16">
        <v>1</v>
      </c>
    </row>
    <row r="17" spans="1:2" x14ac:dyDescent="0.25">
      <c r="A17" t="s">
        <v>105</v>
      </c>
      <c r="B17">
        <v>1</v>
      </c>
    </row>
    <row r="18" spans="1:2" x14ac:dyDescent="0.25">
      <c r="A18" t="s">
        <v>286</v>
      </c>
      <c r="B18">
        <v>1</v>
      </c>
    </row>
    <row r="19" spans="1:2" x14ac:dyDescent="0.25">
      <c r="A19" t="s">
        <v>325</v>
      </c>
      <c r="B19">
        <v>1</v>
      </c>
    </row>
    <row r="20" spans="1:2" x14ac:dyDescent="0.25">
      <c r="A20" t="s">
        <v>80</v>
      </c>
      <c r="B20">
        <v>1</v>
      </c>
    </row>
    <row r="21" spans="1:2" x14ac:dyDescent="0.25">
      <c r="A21" t="s">
        <v>188</v>
      </c>
      <c r="B21">
        <v>1</v>
      </c>
    </row>
    <row r="22" spans="1:2" x14ac:dyDescent="0.25">
      <c r="A22" t="s">
        <v>85</v>
      </c>
      <c r="B22">
        <v>1</v>
      </c>
    </row>
    <row r="23" spans="1:2" x14ac:dyDescent="0.25">
      <c r="A23" t="s">
        <v>5</v>
      </c>
      <c r="B23">
        <v>1</v>
      </c>
    </row>
    <row r="24" spans="1:2" x14ac:dyDescent="0.25">
      <c r="A24" t="s">
        <v>285</v>
      </c>
      <c r="B24">
        <v>1</v>
      </c>
    </row>
    <row r="25" spans="1:2" x14ac:dyDescent="0.25">
      <c r="A25" t="s">
        <v>6</v>
      </c>
      <c r="B25">
        <v>1</v>
      </c>
    </row>
    <row r="26" spans="1:2" x14ac:dyDescent="0.25">
      <c r="A26" t="s">
        <v>182</v>
      </c>
      <c r="B26">
        <v>1</v>
      </c>
    </row>
    <row r="27" spans="1:2" x14ac:dyDescent="0.25">
      <c r="A27" t="s">
        <v>118</v>
      </c>
      <c r="B27">
        <v>1</v>
      </c>
    </row>
    <row r="28" spans="1:2" x14ac:dyDescent="0.25">
      <c r="A28" t="s">
        <v>288</v>
      </c>
      <c r="B28">
        <v>1</v>
      </c>
    </row>
    <row r="29" spans="1:2" x14ac:dyDescent="0.25">
      <c r="A29" t="s">
        <v>132</v>
      </c>
      <c r="B29">
        <v>1</v>
      </c>
    </row>
    <row r="30" spans="1:2" x14ac:dyDescent="0.25">
      <c r="A30" t="s">
        <v>84</v>
      </c>
      <c r="B30">
        <v>1</v>
      </c>
    </row>
    <row r="31" spans="1:2" x14ac:dyDescent="0.25">
      <c r="A31" t="s">
        <v>56</v>
      </c>
      <c r="B31">
        <v>1</v>
      </c>
    </row>
    <row r="32" spans="1:2" x14ac:dyDescent="0.25">
      <c r="A32" t="s">
        <v>88</v>
      </c>
      <c r="B32">
        <v>1</v>
      </c>
    </row>
    <row r="33" spans="1:2" x14ac:dyDescent="0.25">
      <c r="A33" t="s">
        <v>117</v>
      </c>
      <c r="B33">
        <v>1</v>
      </c>
    </row>
    <row r="34" spans="1:2" x14ac:dyDescent="0.25">
      <c r="A34" t="s">
        <v>287</v>
      </c>
      <c r="B34">
        <v>1</v>
      </c>
    </row>
    <row r="35" spans="1:2" x14ac:dyDescent="0.25">
      <c r="A35" t="s">
        <v>326</v>
      </c>
      <c r="B35">
        <v>1</v>
      </c>
    </row>
    <row r="36" spans="1:2" x14ac:dyDescent="0.25">
      <c r="A36" t="s">
        <v>139</v>
      </c>
      <c r="B36">
        <v>1</v>
      </c>
    </row>
    <row r="37" spans="1:2" x14ac:dyDescent="0.25">
      <c r="A37" t="s">
        <v>2</v>
      </c>
      <c r="B37">
        <v>1</v>
      </c>
    </row>
    <row r="38" spans="1:2" x14ac:dyDescent="0.25">
      <c r="A38" t="s">
        <v>282</v>
      </c>
      <c r="B38">
        <v>1</v>
      </c>
    </row>
    <row r="39" spans="1:2" x14ac:dyDescent="0.25">
      <c r="A39" t="s">
        <v>241</v>
      </c>
      <c r="B39">
        <v>1</v>
      </c>
    </row>
    <row r="40" spans="1:2" x14ac:dyDescent="0.25">
      <c r="A40" t="s">
        <v>116</v>
      </c>
      <c r="B40">
        <v>1</v>
      </c>
    </row>
    <row r="41" spans="1:2" x14ac:dyDescent="0.25">
      <c r="A41" t="s">
        <v>175</v>
      </c>
      <c r="B41">
        <v>1</v>
      </c>
    </row>
    <row r="42" spans="1:2" x14ac:dyDescent="0.25">
      <c r="A42" t="s">
        <v>4</v>
      </c>
      <c r="B42">
        <v>1</v>
      </c>
    </row>
    <row r="43" spans="1:2" x14ac:dyDescent="0.25">
      <c r="A43" t="s">
        <v>79</v>
      </c>
      <c r="B43">
        <v>1</v>
      </c>
    </row>
    <row r="44" spans="1:2" x14ac:dyDescent="0.25">
      <c r="A44" t="s">
        <v>390</v>
      </c>
      <c r="B44">
        <v>1</v>
      </c>
    </row>
    <row r="45" spans="1:2" x14ac:dyDescent="0.25">
      <c r="A45" t="s">
        <v>119</v>
      </c>
      <c r="B45">
        <v>1</v>
      </c>
    </row>
    <row r="46" spans="1:2" x14ac:dyDescent="0.25">
      <c r="A46" t="s">
        <v>24</v>
      </c>
      <c r="B46">
        <v>1</v>
      </c>
    </row>
    <row r="47" spans="1:2" x14ac:dyDescent="0.25">
      <c r="A47" t="s">
        <v>327</v>
      </c>
      <c r="B47">
        <v>1</v>
      </c>
    </row>
    <row r="48" spans="1:2" x14ac:dyDescent="0.25">
      <c r="A48" t="s">
        <v>81</v>
      </c>
      <c r="B48">
        <v>1</v>
      </c>
    </row>
  </sheetData>
  <conditionalFormatting sqref="A2:A48">
    <cfRule type="cellIs" dxfId="209" priority="35" operator="equal">
      <formula>"user"</formula>
    </cfRule>
    <cfRule type="cellIs" dxfId="208" priority="36" operator="equal">
      <formula>"access"</formula>
    </cfRule>
  </conditionalFormatting>
  <conditionalFormatting sqref="A2:A48">
    <cfRule type="cellIs" dxfId="207" priority="34" operator="equal">
      <formula>"employee"</formula>
    </cfRule>
  </conditionalFormatting>
  <conditionalFormatting sqref="A2:A48">
    <cfRule type="cellIs" dxfId="206" priority="33" operator="equal">
      <formula>"secure"</formula>
    </cfRule>
  </conditionalFormatting>
  <conditionalFormatting sqref="A2:A48">
    <cfRule type="cellIs" dxfId="205" priority="32" operator="equal">
      <formula>"microsoft"</formula>
    </cfRule>
  </conditionalFormatting>
  <conditionalFormatting sqref="A2:A48">
    <cfRule type="cellIs" dxfId="204" priority="31" operator="equal">
      <formula>"network"</formula>
    </cfRule>
  </conditionalFormatting>
  <conditionalFormatting sqref="A2:A48">
    <cfRule type="cellIs" dxfId="203" priority="30" operator="equal">
      <formula>"server"</formula>
    </cfRule>
  </conditionalFormatting>
  <conditionalFormatting sqref="A2:A48">
    <cfRule type="cellIs" dxfId="202" priority="23" operator="equal">
      <formula>"addition"</formula>
    </cfRule>
  </conditionalFormatting>
  <conditionalFormatting sqref="A2:A48">
    <cfRule type="cellIs" dxfId="201" priority="22" operator="equal">
      <formula>"institution"</formula>
    </cfRule>
  </conditionalFormatting>
  <conditionalFormatting sqref="A1">
    <cfRule type="cellIs" dxfId="200" priority="8" operator="equal">
      <formula>"user"</formula>
    </cfRule>
    <cfRule type="cellIs" dxfId="199" priority="9" operator="equal">
      <formula>"access"</formula>
    </cfRule>
  </conditionalFormatting>
  <conditionalFormatting sqref="A1">
    <cfRule type="cellIs" dxfId="198" priority="7" operator="equal">
      <formula>"employee"</formula>
    </cfRule>
  </conditionalFormatting>
  <conditionalFormatting sqref="A1">
    <cfRule type="cellIs" dxfId="197" priority="6" operator="equal">
      <formula>"secure"</formula>
    </cfRule>
  </conditionalFormatting>
  <conditionalFormatting sqref="A1">
    <cfRule type="cellIs" dxfId="196" priority="5" operator="equal">
      <formula>"microsoft"</formula>
    </cfRule>
  </conditionalFormatting>
  <conditionalFormatting sqref="A1">
    <cfRule type="cellIs" dxfId="195" priority="4" operator="equal">
      <formula>"network"</formula>
    </cfRule>
  </conditionalFormatting>
  <conditionalFormatting sqref="A1">
    <cfRule type="cellIs" dxfId="194" priority="3" operator="equal">
      <formula>"server"</formula>
    </cfRule>
  </conditionalFormatting>
  <conditionalFormatting sqref="A1">
    <cfRule type="cellIs" dxfId="193" priority="2" operator="equal">
      <formula>"addition"</formula>
    </cfRule>
  </conditionalFormatting>
  <conditionalFormatting sqref="A1">
    <cfRule type="cellIs" dxfId="192" priority="1" operator="equal">
      <formula>"institution"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119C-F2B0-46FF-A453-54D642FB2EC5}">
  <dimension ref="A1:B79"/>
  <sheetViews>
    <sheetView workbookViewId="0">
      <selection activeCell="A4" sqref="A4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12</v>
      </c>
    </row>
    <row r="3" spans="1:2" x14ac:dyDescent="0.25">
      <c r="A3" t="s">
        <v>62</v>
      </c>
      <c r="B3">
        <v>4</v>
      </c>
    </row>
    <row r="4" spans="1:2" x14ac:dyDescent="0.25">
      <c r="A4" t="s">
        <v>28</v>
      </c>
      <c r="B4">
        <v>3</v>
      </c>
    </row>
    <row r="5" spans="1:2" x14ac:dyDescent="0.25">
      <c r="A5" t="s">
        <v>43</v>
      </c>
      <c r="B5">
        <v>3</v>
      </c>
    </row>
    <row r="6" spans="1:2" x14ac:dyDescent="0.25">
      <c r="A6" t="s">
        <v>83</v>
      </c>
      <c r="B6">
        <v>2</v>
      </c>
    </row>
    <row r="7" spans="1:2" x14ac:dyDescent="0.25">
      <c r="A7" t="s">
        <v>42</v>
      </c>
      <c r="B7">
        <v>2</v>
      </c>
    </row>
    <row r="8" spans="1:2" x14ac:dyDescent="0.25">
      <c r="A8" t="s">
        <v>37</v>
      </c>
      <c r="B8">
        <v>2</v>
      </c>
    </row>
    <row r="9" spans="1:2" x14ac:dyDescent="0.25">
      <c r="A9" t="s">
        <v>105</v>
      </c>
      <c r="B9">
        <v>2</v>
      </c>
    </row>
    <row r="10" spans="1:2" x14ac:dyDescent="0.25">
      <c r="A10" t="s">
        <v>24</v>
      </c>
      <c r="B10">
        <v>2</v>
      </c>
    </row>
    <row r="11" spans="1:2" x14ac:dyDescent="0.25">
      <c r="A11" t="s">
        <v>344</v>
      </c>
      <c r="B11">
        <v>2</v>
      </c>
    </row>
    <row r="12" spans="1:2" x14ac:dyDescent="0.25">
      <c r="A12" t="s">
        <v>324</v>
      </c>
      <c r="B12">
        <v>2</v>
      </c>
    </row>
    <row r="13" spans="1:2" x14ac:dyDescent="0.25">
      <c r="A13" t="s">
        <v>327</v>
      </c>
      <c r="B13">
        <v>2</v>
      </c>
    </row>
    <row r="14" spans="1:2" x14ac:dyDescent="0.25">
      <c r="A14" t="s">
        <v>79</v>
      </c>
      <c r="B14">
        <v>2</v>
      </c>
    </row>
    <row r="15" spans="1:2" x14ac:dyDescent="0.25">
      <c r="A15" t="s">
        <v>8</v>
      </c>
      <c r="B15">
        <v>2</v>
      </c>
    </row>
    <row r="16" spans="1:2" x14ac:dyDescent="0.25">
      <c r="A16" t="s">
        <v>81</v>
      </c>
      <c r="B16">
        <v>2</v>
      </c>
    </row>
    <row r="17" spans="1:2" x14ac:dyDescent="0.25">
      <c r="A17" t="s">
        <v>96</v>
      </c>
      <c r="B17">
        <v>2</v>
      </c>
    </row>
    <row r="18" spans="1:2" x14ac:dyDescent="0.25">
      <c r="A18" t="s">
        <v>25</v>
      </c>
      <c r="B18">
        <v>2</v>
      </c>
    </row>
    <row r="19" spans="1:2" x14ac:dyDescent="0.25">
      <c r="A19" t="s">
        <v>86</v>
      </c>
      <c r="B19">
        <v>2</v>
      </c>
    </row>
    <row r="20" spans="1:2" x14ac:dyDescent="0.25">
      <c r="A20" t="s">
        <v>388</v>
      </c>
      <c r="B20">
        <v>1</v>
      </c>
    </row>
    <row r="21" spans="1:2" x14ac:dyDescent="0.25">
      <c r="A21" t="s">
        <v>66</v>
      </c>
      <c r="B21">
        <v>1</v>
      </c>
    </row>
    <row r="22" spans="1:2" x14ac:dyDescent="0.25">
      <c r="A22" t="s">
        <v>57</v>
      </c>
      <c r="B22">
        <v>1</v>
      </c>
    </row>
    <row r="23" spans="1:2" x14ac:dyDescent="0.25">
      <c r="A23" t="s">
        <v>318</v>
      </c>
      <c r="B23">
        <v>1</v>
      </c>
    </row>
    <row r="24" spans="1:2" x14ac:dyDescent="0.25">
      <c r="A24" t="s">
        <v>51</v>
      </c>
      <c r="B24">
        <v>1</v>
      </c>
    </row>
    <row r="25" spans="1:2" x14ac:dyDescent="0.25">
      <c r="A25" t="s">
        <v>78</v>
      </c>
      <c r="B25">
        <v>1</v>
      </c>
    </row>
    <row r="26" spans="1:2" x14ac:dyDescent="0.25">
      <c r="A26" t="s">
        <v>389</v>
      </c>
      <c r="B26">
        <v>1</v>
      </c>
    </row>
    <row r="27" spans="1:2" x14ac:dyDescent="0.25">
      <c r="A27" t="s">
        <v>87</v>
      </c>
      <c r="B27">
        <v>1</v>
      </c>
    </row>
    <row r="28" spans="1:2" x14ac:dyDescent="0.25">
      <c r="A28" t="s">
        <v>69</v>
      </c>
      <c r="B28">
        <v>1</v>
      </c>
    </row>
    <row r="29" spans="1:2" x14ac:dyDescent="0.25">
      <c r="A29" t="s">
        <v>100</v>
      </c>
      <c r="B29">
        <v>1</v>
      </c>
    </row>
    <row r="30" spans="1:2" x14ac:dyDescent="0.25">
      <c r="A30" t="s">
        <v>286</v>
      </c>
      <c r="B30">
        <v>1</v>
      </c>
    </row>
    <row r="31" spans="1:2" x14ac:dyDescent="0.25">
      <c r="A31" t="s">
        <v>325</v>
      </c>
      <c r="B31">
        <v>1</v>
      </c>
    </row>
    <row r="32" spans="1:2" x14ac:dyDescent="0.25">
      <c r="A32" t="s">
        <v>80</v>
      </c>
      <c r="B32">
        <v>1</v>
      </c>
    </row>
    <row r="33" spans="1:2" x14ac:dyDescent="0.25">
      <c r="A33" t="s">
        <v>188</v>
      </c>
      <c r="B33">
        <v>1</v>
      </c>
    </row>
    <row r="34" spans="1:2" x14ac:dyDescent="0.25">
      <c r="A34" t="s">
        <v>85</v>
      </c>
      <c r="B34">
        <v>1</v>
      </c>
    </row>
    <row r="35" spans="1:2" x14ac:dyDescent="0.25">
      <c r="A35" t="s">
        <v>35</v>
      </c>
      <c r="B35">
        <v>1</v>
      </c>
    </row>
    <row r="36" spans="1:2" x14ac:dyDescent="0.25">
      <c r="A36" t="s">
        <v>97</v>
      </c>
      <c r="B36">
        <v>1</v>
      </c>
    </row>
    <row r="37" spans="1:2" x14ac:dyDescent="0.25">
      <c r="A37" t="s">
        <v>5</v>
      </c>
      <c r="B37">
        <v>1</v>
      </c>
    </row>
    <row r="38" spans="1:2" x14ac:dyDescent="0.25">
      <c r="A38" t="s">
        <v>285</v>
      </c>
      <c r="B38">
        <v>1</v>
      </c>
    </row>
    <row r="39" spans="1:2" x14ac:dyDescent="0.25">
      <c r="A39" t="s">
        <v>130</v>
      </c>
      <c r="B39">
        <v>1</v>
      </c>
    </row>
    <row r="40" spans="1:2" x14ac:dyDescent="0.25">
      <c r="A40" t="s">
        <v>6</v>
      </c>
      <c r="B40">
        <v>1</v>
      </c>
    </row>
    <row r="41" spans="1:2" x14ac:dyDescent="0.25">
      <c r="A41" t="s">
        <v>182</v>
      </c>
      <c r="B41">
        <v>1</v>
      </c>
    </row>
    <row r="42" spans="1:2" x14ac:dyDescent="0.25">
      <c r="A42" t="s">
        <v>101</v>
      </c>
      <c r="B42">
        <v>1</v>
      </c>
    </row>
    <row r="43" spans="1:2" x14ac:dyDescent="0.25">
      <c r="A43" t="s">
        <v>118</v>
      </c>
      <c r="B43">
        <v>1</v>
      </c>
    </row>
    <row r="44" spans="1:2" x14ac:dyDescent="0.25">
      <c r="A44" t="s">
        <v>288</v>
      </c>
      <c r="B44">
        <v>1</v>
      </c>
    </row>
    <row r="45" spans="1:2" x14ac:dyDescent="0.25">
      <c r="A45" t="s">
        <v>354</v>
      </c>
      <c r="B45">
        <v>1</v>
      </c>
    </row>
    <row r="46" spans="1:2" x14ac:dyDescent="0.25">
      <c r="A46" t="s">
        <v>68</v>
      </c>
      <c r="B46">
        <v>1</v>
      </c>
    </row>
    <row r="47" spans="1:2" x14ac:dyDescent="0.25">
      <c r="A47" t="s">
        <v>99</v>
      </c>
      <c r="B47">
        <v>1</v>
      </c>
    </row>
    <row r="48" spans="1:2" x14ac:dyDescent="0.25">
      <c r="A48" t="s">
        <v>116</v>
      </c>
      <c r="B48">
        <v>1</v>
      </c>
    </row>
    <row r="49" spans="1:2" x14ac:dyDescent="0.25">
      <c r="A49" t="s">
        <v>175</v>
      </c>
      <c r="B49">
        <v>1</v>
      </c>
    </row>
    <row r="50" spans="1:2" x14ac:dyDescent="0.25">
      <c r="A50" t="s">
        <v>4</v>
      </c>
      <c r="B50">
        <v>1</v>
      </c>
    </row>
    <row r="51" spans="1:2" x14ac:dyDescent="0.25">
      <c r="A51" t="s">
        <v>148</v>
      </c>
      <c r="B51">
        <v>1</v>
      </c>
    </row>
    <row r="52" spans="1:2" x14ac:dyDescent="0.25">
      <c r="A52" t="s">
        <v>390</v>
      </c>
      <c r="B52">
        <v>1</v>
      </c>
    </row>
    <row r="53" spans="1:2" x14ac:dyDescent="0.25">
      <c r="A53" t="s">
        <v>70</v>
      </c>
      <c r="B53">
        <v>1</v>
      </c>
    </row>
    <row r="54" spans="1:2" x14ac:dyDescent="0.25">
      <c r="A54" t="s">
        <v>103</v>
      </c>
      <c r="B54">
        <v>1</v>
      </c>
    </row>
    <row r="55" spans="1:2" x14ac:dyDescent="0.25">
      <c r="A55" t="s">
        <v>119</v>
      </c>
      <c r="B55">
        <v>1</v>
      </c>
    </row>
    <row r="56" spans="1:2" x14ac:dyDescent="0.25">
      <c r="A56" t="s">
        <v>381</v>
      </c>
      <c r="B56">
        <v>1</v>
      </c>
    </row>
    <row r="57" spans="1:2" x14ac:dyDescent="0.25">
      <c r="A57" t="s">
        <v>73</v>
      </c>
      <c r="B57">
        <v>1</v>
      </c>
    </row>
    <row r="58" spans="1:2" x14ac:dyDescent="0.25">
      <c r="A58" t="s">
        <v>132</v>
      </c>
      <c r="B58">
        <v>1</v>
      </c>
    </row>
    <row r="59" spans="1:2" x14ac:dyDescent="0.25">
      <c r="A59" t="s">
        <v>84</v>
      </c>
      <c r="B59">
        <v>1</v>
      </c>
    </row>
    <row r="60" spans="1:2" x14ac:dyDescent="0.25">
      <c r="A60" t="s">
        <v>56</v>
      </c>
      <c r="B60">
        <v>1</v>
      </c>
    </row>
    <row r="61" spans="1:2" x14ac:dyDescent="0.25">
      <c r="A61" t="s">
        <v>353</v>
      </c>
      <c r="B61">
        <v>1</v>
      </c>
    </row>
    <row r="62" spans="1:2" x14ac:dyDescent="0.25">
      <c r="A62" t="s">
        <v>127</v>
      </c>
      <c r="B62">
        <v>1</v>
      </c>
    </row>
    <row r="63" spans="1:2" x14ac:dyDescent="0.25">
      <c r="A63" t="s">
        <v>183</v>
      </c>
      <c r="B63">
        <v>1</v>
      </c>
    </row>
    <row r="64" spans="1:2" x14ac:dyDescent="0.25">
      <c r="A64" t="s">
        <v>88</v>
      </c>
      <c r="B64">
        <v>1</v>
      </c>
    </row>
    <row r="65" spans="1:2" x14ac:dyDescent="0.25">
      <c r="A65" t="s">
        <v>117</v>
      </c>
      <c r="B65">
        <v>1</v>
      </c>
    </row>
    <row r="66" spans="1:2" x14ac:dyDescent="0.25">
      <c r="A66" t="s">
        <v>287</v>
      </c>
      <c r="B66">
        <v>1</v>
      </c>
    </row>
    <row r="67" spans="1:2" x14ac:dyDescent="0.25">
      <c r="A67" t="s">
        <v>326</v>
      </c>
      <c r="B67">
        <v>1</v>
      </c>
    </row>
    <row r="68" spans="1:2" x14ac:dyDescent="0.25">
      <c r="A68" t="s">
        <v>139</v>
      </c>
      <c r="B68">
        <v>1</v>
      </c>
    </row>
    <row r="69" spans="1:2" x14ac:dyDescent="0.25">
      <c r="A69" t="s">
        <v>67</v>
      </c>
      <c r="B69">
        <v>1</v>
      </c>
    </row>
    <row r="70" spans="1:2" x14ac:dyDescent="0.25">
      <c r="A70" t="s">
        <v>98</v>
      </c>
      <c r="B70">
        <v>1</v>
      </c>
    </row>
    <row r="71" spans="1:2" x14ac:dyDescent="0.25">
      <c r="A71" t="s">
        <v>2</v>
      </c>
      <c r="B71">
        <v>1</v>
      </c>
    </row>
    <row r="72" spans="1:2" x14ac:dyDescent="0.25">
      <c r="A72" t="s">
        <v>282</v>
      </c>
      <c r="B72">
        <v>1</v>
      </c>
    </row>
    <row r="73" spans="1:2" x14ac:dyDescent="0.25">
      <c r="A73" t="s">
        <v>60</v>
      </c>
      <c r="B73">
        <v>1</v>
      </c>
    </row>
    <row r="74" spans="1:2" x14ac:dyDescent="0.25">
      <c r="A74" t="s">
        <v>242</v>
      </c>
      <c r="B74">
        <v>1</v>
      </c>
    </row>
    <row r="75" spans="1:2" x14ac:dyDescent="0.25">
      <c r="A75" t="s">
        <v>27</v>
      </c>
      <c r="B75">
        <v>1</v>
      </c>
    </row>
    <row r="76" spans="1:2" x14ac:dyDescent="0.25">
      <c r="A76" t="s">
        <v>39</v>
      </c>
      <c r="B76">
        <v>1</v>
      </c>
    </row>
    <row r="77" spans="1:2" x14ac:dyDescent="0.25">
      <c r="A77" t="s">
        <v>102</v>
      </c>
      <c r="B77">
        <v>1</v>
      </c>
    </row>
    <row r="78" spans="1:2" x14ac:dyDescent="0.25">
      <c r="A78" t="s">
        <v>241</v>
      </c>
      <c r="B78">
        <v>1</v>
      </c>
    </row>
    <row r="79" spans="1:2" x14ac:dyDescent="0.25">
      <c r="A79" t="s">
        <v>163</v>
      </c>
      <c r="B79">
        <v>1</v>
      </c>
    </row>
  </sheetData>
  <conditionalFormatting sqref="A46:A55 A57:A66 A2:A11 A68:A77 A13:A22 A79 A24:A33 A35:A44">
    <cfRule type="cellIs" dxfId="191" priority="39" operator="equal">
      <formula>"user"</formula>
    </cfRule>
    <cfRule type="cellIs" dxfId="190" priority="40" operator="equal">
      <formula>"access"</formula>
    </cfRule>
  </conditionalFormatting>
  <conditionalFormatting sqref="A2:A79">
    <cfRule type="cellIs" dxfId="189" priority="1" operator="equal">
      <formula>"server"</formula>
    </cfRule>
    <cfRule type="cellIs" dxfId="188" priority="2" operator="equal">
      <formula>"data"</formula>
    </cfRule>
    <cfRule type="cellIs" dxfId="187" priority="38" operator="equal">
      <formula>"employee"</formula>
    </cfRule>
  </conditionalFormatting>
  <conditionalFormatting sqref="A2:A79">
    <cfRule type="cellIs" dxfId="186" priority="37" operator="equal">
      <formula>"secure"</formula>
    </cfRule>
  </conditionalFormatting>
  <conditionalFormatting sqref="A2:A79">
    <cfRule type="cellIs" dxfId="185" priority="36" operator="equal">
      <formula>"microsoft"</formula>
    </cfRule>
  </conditionalFormatting>
  <conditionalFormatting sqref="A2:A79">
    <cfRule type="cellIs" dxfId="184" priority="35" operator="equal">
      <formula>"network"</formula>
    </cfRule>
  </conditionalFormatting>
  <conditionalFormatting sqref="A2:A79">
    <cfRule type="cellIs" dxfId="183" priority="34" operator="equal">
      <formula>"server"</formula>
    </cfRule>
  </conditionalFormatting>
  <conditionalFormatting sqref="A56 A67 A12 A78 A23 A34 A45">
    <cfRule type="cellIs" dxfId="182" priority="15" operator="equal">
      <formula>"access"</formula>
    </cfRule>
  </conditionalFormatting>
  <conditionalFormatting sqref="A1">
    <cfRule type="cellIs" dxfId="181" priority="8" operator="equal">
      <formula>"user"</formula>
    </cfRule>
    <cfRule type="cellIs" dxfId="180" priority="9" operator="equal">
      <formula>"access"</formula>
    </cfRule>
  </conditionalFormatting>
  <conditionalFormatting sqref="A1">
    <cfRule type="cellIs" dxfId="179" priority="7" operator="equal">
      <formula>"employee"</formula>
    </cfRule>
  </conditionalFormatting>
  <conditionalFormatting sqref="A1">
    <cfRule type="cellIs" dxfId="178" priority="6" operator="equal">
      <formula>"secure"</formula>
    </cfRule>
  </conditionalFormatting>
  <conditionalFormatting sqref="A1">
    <cfRule type="cellIs" dxfId="177" priority="5" operator="equal">
      <formula>"microsoft"</formula>
    </cfRule>
  </conditionalFormatting>
  <conditionalFormatting sqref="A1">
    <cfRule type="cellIs" dxfId="176" priority="4" operator="equal">
      <formula>"network"</formula>
    </cfRule>
  </conditionalFormatting>
  <conditionalFormatting sqref="A1">
    <cfRule type="cellIs" dxfId="175" priority="3" operator="equal">
      <formula>"server"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17409-F204-44DB-AABB-2EB814ED0A7F}">
  <dimension ref="A1:B62"/>
  <sheetViews>
    <sheetView workbookViewId="0">
      <selection activeCell="H31" sqref="H31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9</v>
      </c>
    </row>
    <row r="3" spans="1:2" x14ac:dyDescent="0.25">
      <c r="A3" t="s">
        <v>62</v>
      </c>
      <c r="B3">
        <v>3</v>
      </c>
    </row>
    <row r="4" spans="1:2" x14ac:dyDescent="0.25">
      <c r="A4" t="s">
        <v>42</v>
      </c>
      <c r="B4">
        <v>2</v>
      </c>
    </row>
    <row r="5" spans="1:2" x14ac:dyDescent="0.25">
      <c r="A5" t="s">
        <v>24</v>
      </c>
      <c r="B5">
        <v>2</v>
      </c>
    </row>
    <row r="6" spans="1:2" x14ac:dyDescent="0.25">
      <c r="A6" t="s">
        <v>324</v>
      </c>
      <c r="B6">
        <v>2</v>
      </c>
    </row>
    <row r="7" spans="1:2" x14ac:dyDescent="0.25">
      <c r="A7" t="s">
        <v>43</v>
      </c>
      <c r="B7">
        <v>2</v>
      </c>
    </row>
    <row r="8" spans="1:2" x14ac:dyDescent="0.25">
      <c r="A8" t="s">
        <v>8</v>
      </c>
      <c r="B8">
        <v>2</v>
      </c>
    </row>
    <row r="9" spans="1:2" x14ac:dyDescent="0.25">
      <c r="A9" t="s">
        <v>81</v>
      </c>
      <c r="B9">
        <v>2</v>
      </c>
    </row>
    <row r="10" spans="1:2" x14ac:dyDescent="0.25">
      <c r="A10" t="s">
        <v>96</v>
      </c>
      <c r="B10">
        <v>2</v>
      </c>
    </row>
    <row r="11" spans="1:2" x14ac:dyDescent="0.25">
      <c r="A11" t="s">
        <v>25</v>
      </c>
      <c r="B11">
        <v>2</v>
      </c>
    </row>
    <row r="12" spans="1:2" x14ac:dyDescent="0.25">
      <c r="A12" t="s">
        <v>86</v>
      </c>
      <c r="B12">
        <v>2</v>
      </c>
    </row>
    <row r="13" spans="1:2" x14ac:dyDescent="0.25">
      <c r="A13" t="s">
        <v>388</v>
      </c>
      <c r="B13">
        <v>1</v>
      </c>
    </row>
    <row r="14" spans="1:2" x14ac:dyDescent="0.25">
      <c r="A14" t="s">
        <v>83</v>
      </c>
      <c r="B14">
        <v>1</v>
      </c>
    </row>
    <row r="15" spans="1:2" x14ac:dyDescent="0.25">
      <c r="A15" t="s">
        <v>57</v>
      </c>
      <c r="B15">
        <v>1</v>
      </c>
    </row>
    <row r="16" spans="1:2" x14ac:dyDescent="0.25">
      <c r="A16" t="s">
        <v>318</v>
      </c>
      <c r="B16">
        <v>1</v>
      </c>
    </row>
    <row r="17" spans="1:2" x14ac:dyDescent="0.25">
      <c r="A17" t="s">
        <v>51</v>
      </c>
      <c r="B17">
        <v>1</v>
      </c>
    </row>
    <row r="18" spans="1:2" x14ac:dyDescent="0.25">
      <c r="A18" t="s">
        <v>78</v>
      </c>
      <c r="B18">
        <v>1</v>
      </c>
    </row>
    <row r="19" spans="1:2" x14ac:dyDescent="0.25">
      <c r="A19" t="s">
        <v>389</v>
      </c>
      <c r="B19">
        <v>1</v>
      </c>
    </row>
    <row r="20" spans="1:2" x14ac:dyDescent="0.25">
      <c r="A20" t="s">
        <v>87</v>
      </c>
      <c r="B20">
        <v>1</v>
      </c>
    </row>
    <row r="21" spans="1:2" x14ac:dyDescent="0.25">
      <c r="A21" t="s">
        <v>100</v>
      </c>
      <c r="B21">
        <v>1</v>
      </c>
    </row>
    <row r="22" spans="1:2" x14ac:dyDescent="0.25">
      <c r="A22" t="s">
        <v>105</v>
      </c>
      <c r="B22">
        <v>1</v>
      </c>
    </row>
    <row r="23" spans="1:2" x14ac:dyDescent="0.25">
      <c r="A23" t="s">
        <v>286</v>
      </c>
      <c r="B23">
        <v>1</v>
      </c>
    </row>
    <row r="24" spans="1:2" x14ac:dyDescent="0.25">
      <c r="A24" t="s">
        <v>325</v>
      </c>
      <c r="B24">
        <v>1</v>
      </c>
    </row>
    <row r="25" spans="1:2" x14ac:dyDescent="0.25">
      <c r="A25" t="s">
        <v>80</v>
      </c>
      <c r="B25">
        <v>1</v>
      </c>
    </row>
    <row r="26" spans="1:2" x14ac:dyDescent="0.25">
      <c r="A26" t="s">
        <v>188</v>
      </c>
      <c r="B26">
        <v>1</v>
      </c>
    </row>
    <row r="27" spans="1:2" x14ac:dyDescent="0.25">
      <c r="A27" t="s">
        <v>85</v>
      </c>
      <c r="B27">
        <v>1</v>
      </c>
    </row>
    <row r="28" spans="1:2" x14ac:dyDescent="0.25">
      <c r="A28" t="s">
        <v>97</v>
      </c>
      <c r="B28">
        <v>1</v>
      </c>
    </row>
    <row r="29" spans="1:2" x14ac:dyDescent="0.25">
      <c r="A29" t="s">
        <v>5</v>
      </c>
      <c r="B29">
        <v>1</v>
      </c>
    </row>
    <row r="30" spans="1:2" x14ac:dyDescent="0.25">
      <c r="A30" t="s">
        <v>285</v>
      </c>
      <c r="B30">
        <v>1</v>
      </c>
    </row>
    <row r="31" spans="1:2" x14ac:dyDescent="0.25">
      <c r="A31" t="s">
        <v>344</v>
      </c>
      <c r="B31">
        <v>1</v>
      </c>
    </row>
    <row r="32" spans="1:2" x14ac:dyDescent="0.25">
      <c r="A32" t="s">
        <v>6</v>
      </c>
      <c r="B32">
        <v>1</v>
      </c>
    </row>
    <row r="33" spans="1:2" x14ac:dyDescent="0.25">
      <c r="A33" t="s">
        <v>182</v>
      </c>
      <c r="B33">
        <v>1</v>
      </c>
    </row>
    <row r="34" spans="1:2" x14ac:dyDescent="0.25">
      <c r="A34" t="s">
        <v>101</v>
      </c>
      <c r="B34">
        <v>1</v>
      </c>
    </row>
    <row r="35" spans="1:2" x14ac:dyDescent="0.25">
      <c r="A35" t="s">
        <v>118</v>
      </c>
      <c r="B35">
        <v>1</v>
      </c>
    </row>
    <row r="36" spans="1:2" x14ac:dyDescent="0.25">
      <c r="A36" t="s">
        <v>288</v>
      </c>
      <c r="B36">
        <v>1</v>
      </c>
    </row>
    <row r="37" spans="1:2" x14ac:dyDescent="0.25">
      <c r="A37" t="s">
        <v>354</v>
      </c>
      <c r="B37">
        <v>1</v>
      </c>
    </row>
    <row r="38" spans="1:2" x14ac:dyDescent="0.25">
      <c r="A38" t="s">
        <v>99</v>
      </c>
      <c r="B38">
        <v>1</v>
      </c>
    </row>
    <row r="39" spans="1:2" x14ac:dyDescent="0.25">
      <c r="A39" t="s">
        <v>116</v>
      </c>
      <c r="B39">
        <v>1</v>
      </c>
    </row>
    <row r="40" spans="1:2" x14ac:dyDescent="0.25">
      <c r="A40" t="s">
        <v>175</v>
      </c>
      <c r="B40">
        <v>1</v>
      </c>
    </row>
    <row r="41" spans="1:2" x14ac:dyDescent="0.25">
      <c r="A41" t="s">
        <v>4</v>
      </c>
      <c r="B41">
        <v>1</v>
      </c>
    </row>
    <row r="42" spans="1:2" x14ac:dyDescent="0.25">
      <c r="A42" t="s">
        <v>79</v>
      </c>
      <c r="B42">
        <v>1</v>
      </c>
    </row>
    <row r="43" spans="1:2" x14ac:dyDescent="0.25">
      <c r="A43" t="s">
        <v>390</v>
      </c>
      <c r="B43">
        <v>1</v>
      </c>
    </row>
    <row r="44" spans="1:2" x14ac:dyDescent="0.25">
      <c r="A44" t="s">
        <v>103</v>
      </c>
      <c r="B44">
        <v>1</v>
      </c>
    </row>
    <row r="45" spans="1:2" x14ac:dyDescent="0.25">
      <c r="A45" t="s">
        <v>119</v>
      </c>
      <c r="B45">
        <v>1</v>
      </c>
    </row>
    <row r="46" spans="1:2" x14ac:dyDescent="0.25">
      <c r="A46" t="s">
        <v>327</v>
      </c>
      <c r="B46">
        <v>1</v>
      </c>
    </row>
    <row r="47" spans="1:2" x14ac:dyDescent="0.25">
      <c r="A47" t="s">
        <v>132</v>
      </c>
      <c r="B47">
        <v>1</v>
      </c>
    </row>
    <row r="48" spans="1:2" x14ac:dyDescent="0.25">
      <c r="A48" t="s">
        <v>84</v>
      </c>
      <c r="B48">
        <v>1</v>
      </c>
    </row>
    <row r="49" spans="1:2" x14ac:dyDescent="0.25">
      <c r="A49" t="s">
        <v>56</v>
      </c>
      <c r="B49">
        <v>1</v>
      </c>
    </row>
    <row r="50" spans="1:2" x14ac:dyDescent="0.25">
      <c r="A50" t="s">
        <v>353</v>
      </c>
      <c r="B50">
        <v>1</v>
      </c>
    </row>
    <row r="51" spans="1:2" x14ac:dyDescent="0.25">
      <c r="A51" t="s">
        <v>88</v>
      </c>
      <c r="B51">
        <v>1</v>
      </c>
    </row>
    <row r="52" spans="1:2" x14ac:dyDescent="0.25">
      <c r="A52" t="s">
        <v>117</v>
      </c>
      <c r="B52">
        <v>1</v>
      </c>
    </row>
    <row r="53" spans="1:2" x14ac:dyDescent="0.25">
      <c r="A53" t="s">
        <v>287</v>
      </c>
      <c r="B53">
        <v>1</v>
      </c>
    </row>
    <row r="54" spans="1:2" x14ac:dyDescent="0.25">
      <c r="A54" t="s">
        <v>326</v>
      </c>
      <c r="B54">
        <v>1</v>
      </c>
    </row>
    <row r="55" spans="1:2" x14ac:dyDescent="0.25">
      <c r="A55" t="s">
        <v>139</v>
      </c>
      <c r="B55">
        <v>1</v>
      </c>
    </row>
    <row r="56" spans="1:2" x14ac:dyDescent="0.25">
      <c r="A56" t="s">
        <v>98</v>
      </c>
      <c r="B56">
        <v>1</v>
      </c>
    </row>
    <row r="57" spans="1:2" x14ac:dyDescent="0.25">
      <c r="A57" t="s">
        <v>2</v>
      </c>
      <c r="B57">
        <v>1</v>
      </c>
    </row>
    <row r="58" spans="1:2" x14ac:dyDescent="0.25">
      <c r="A58" t="s">
        <v>282</v>
      </c>
      <c r="B58">
        <v>1</v>
      </c>
    </row>
    <row r="59" spans="1:2" x14ac:dyDescent="0.25">
      <c r="A59" t="s">
        <v>60</v>
      </c>
      <c r="B59">
        <v>1</v>
      </c>
    </row>
    <row r="60" spans="1:2" x14ac:dyDescent="0.25">
      <c r="A60" t="s">
        <v>102</v>
      </c>
      <c r="B60">
        <v>1</v>
      </c>
    </row>
    <row r="61" spans="1:2" x14ac:dyDescent="0.25">
      <c r="A61" t="s">
        <v>241</v>
      </c>
      <c r="B61">
        <v>1</v>
      </c>
    </row>
    <row r="62" spans="1:2" x14ac:dyDescent="0.25">
      <c r="A62" t="s">
        <v>163</v>
      </c>
      <c r="B62">
        <v>1</v>
      </c>
    </row>
  </sheetData>
  <conditionalFormatting sqref="A2:A62">
    <cfRule type="cellIs" dxfId="174" priority="33" operator="equal">
      <formula>"user"</formula>
    </cfRule>
    <cfRule type="cellIs" dxfId="173" priority="34" operator="equal">
      <formula>"access"</formula>
    </cfRule>
  </conditionalFormatting>
  <conditionalFormatting sqref="A2:A62">
    <cfRule type="cellIs" dxfId="172" priority="32" operator="equal">
      <formula>"employee"</formula>
    </cfRule>
  </conditionalFormatting>
  <conditionalFormatting sqref="A2:A62">
    <cfRule type="cellIs" dxfId="171" priority="31" operator="equal">
      <formula>"secure"</formula>
    </cfRule>
  </conditionalFormatting>
  <conditionalFormatting sqref="A2:A62">
    <cfRule type="cellIs" dxfId="170" priority="30" operator="equal">
      <formula>"microsoft"</formula>
    </cfRule>
  </conditionalFormatting>
  <conditionalFormatting sqref="A2:A62">
    <cfRule type="cellIs" dxfId="169" priority="29" operator="equal">
      <formula>"network"</formula>
    </cfRule>
  </conditionalFormatting>
  <conditionalFormatting sqref="A2:A62">
    <cfRule type="cellIs" dxfId="168" priority="28" operator="equal">
      <formula>"server"</formula>
    </cfRule>
  </conditionalFormatting>
  <conditionalFormatting sqref="A2:A62">
    <cfRule type="cellIs" dxfId="167" priority="21" operator="equal">
      <formula>"addition"</formula>
    </cfRule>
  </conditionalFormatting>
  <conditionalFormatting sqref="A1">
    <cfRule type="cellIs" dxfId="166" priority="7" operator="equal">
      <formula>"user"</formula>
    </cfRule>
    <cfRule type="cellIs" dxfId="165" priority="8" operator="equal">
      <formula>"access"</formula>
    </cfRule>
  </conditionalFormatting>
  <conditionalFormatting sqref="A1">
    <cfRule type="cellIs" dxfId="164" priority="6" operator="equal">
      <formula>"employee"</formula>
    </cfRule>
  </conditionalFormatting>
  <conditionalFormatting sqref="A1">
    <cfRule type="cellIs" dxfId="163" priority="5" operator="equal">
      <formula>"secure"</formula>
    </cfRule>
  </conditionalFormatting>
  <conditionalFormatting sqref="A1">
    <cfRule type="cellIs" dxfId="162" priority="4" operator="equal">
      <formula>"microsoft"</formula>
    </cfRule>
  </conditionalFormatting>
  <conditionalFormatting sqref="A1">
    <cfRule type="cellIs" dxfId="161" priority="3" operator="equal">
      <formula>"network"</formula>
    </cfRule>
  </conditionalFormatting>
  <conditionalFormatting sqref="A1">
    <cfRule type="cellIs" dxfId="160" priority="2" operator="equal">
      <formula>"server"</formula>
    </cfRule>
  </conditionalFormatting>
  <conditionalFormatting sqref="A1">
    <cfRule type="cellIs" dxfId="159" priority="1" operator="equal">
      <formula>"addition"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46C0F-2DEB-4875-A63B-9BDED7309BA4}">
  <dimension ref="A1:B131"/>
  <sheetViews>
    <sheetView workbookViewId="0">
      <selection activeCell="B4" sqref="B4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14</v>
      </c>
    </row>
    <row r="3" spans="1:2" x14ac:dyDescent="0.25">
      <c r="A3" t="s">
        <v>62</v>
      </c>
      <c r="B3">
        <v>5</v>
      </c>
    </row>
    <row r="4" spans="1:2" x14ac:dyDescent="0.25">
      <c r="A4" t="s">
        <v>28</v>
      </c>
      <c r="B4">
        <v>4</v>
      </c>
    </row>
    <row r="5" spans="1:2" x14ac:dyDescent="0.25">
      <c r="A5" t="s">
        <v>8</v>
      </c>
      <c r="B5">
        <v>3</v>
      </c>
    </row>
    <row r="6" spans="1:2" x14ac:dyDescent="0.25">
      <c r="A6" t="s">
        <v>344</v>
      </c>
      <c r="B6">
        <v>3</v>
      </c>
    </row>
    <row r="7" spans="1:2" x14ac:dyDescent="0.25">
      <c r="A7" t="s">
        <v>43</v>
      </c>
      <c r="B7">
        <v>3</v>
      </c>
    </row>
    <row r="8" spans="1:2" x14ac:dyDescent="0.25">
      <c r="A8" t="s">
        <v>83</v>
      </c>
      <c r="B8">
        <v>2</v>
      </c>
    </row>
    <row r="9" spans="1:2" x14ac:dyDescent="0.25">
      <c r="A9" t="s">
        <v>29</v>
      </c>
      <c r="B9">
        <v>2</v>
      </c>
    </row>
    <row r="10" spans="1:2" x14ac:dyDescent="0.25">
      <c r="A10" t="s">
        <v>42</v>
      </c>
      <c r="B10">
        <v>2</v>
      </c>
    </row>
    <row r="11" spans="1:2" x14ac:dyDescent="0.25">
      <c r="A11" t="s">
        <v>37</v>
      </c>
      <c r="B11">
        <v>2</v>
      </c>
    </row>
    <row r="12" spans="1:2" x14ac:dyDescent="0.25">
      <c r="A12" t="s">
        <v>105</v>
      </c>
      <c r="B12">
        <v>2</v>
      </c>
    </row>
    <row r="13" spans="1:2" x14ac:dyDescent="0.25">
      <c r="A13" t="s">
        <v>24</v>
      </c>
      <c r="B13">
        <v>2</v>
      </c>
    </row>
    <row r="14" spans="1:2" x14ac:dyDescent="0.25">
      <c r="A14" t="s">
        <v>60</v>
      </c>
      <c r="B14">
        <v>2</v>
      </c>
    </row>
    <row r="15" spans="1:2" x14ac:dyDescent="0.25">
      <c r="A15" t="s">
        <v>324</v>
      </c>
      <c r="B15">
        <v>2</v>
      </c>
    </row>
    <row r="16" spans="1:2" x14ac:dyDescent="0.25">
      <c r="A16" t="s">
        <v>327</v>
      </c>
      <c r="B16">
        <v>2</v>
      </c>
    </row>
    <row r="17" spans="1:2" x14ac:dyDescent="0.25">
      <c r="A17" t="s">
        <v>79</v>
      </c>
      <c r="B17">
        <v>2</v>
      </c>
    </row>
    <row r="18" spans="1:2" x14ac:dyDescent="0.25">
      <c r="A18" t="s">
        <v>81</v>
      </c>
      <c r="B18">
        <v>2</v>
      </c>
    </row>
    <row r="19" spans="1:2" x14ac:dyDescent="0.25">
      <c r="A19" t="s">
        <v>84</v>
      </c>
      <c r="B19">
        <v>2</v>
      </c>
    </row>
    <row r="20" spans="1:2" x14ac:dyDescent="0.25">
      <c r="A20" t="s">
        <v>96</v>
      </c>
      <c r="B20">
        <v>2</v>
      </c>
    </row>
    <row r="21" spans="1:2" x14ac:dyDescent="0.25">
      <c r="A21" t="s">
        <v>25</v>
      </c>
      <c r="B21">
        <v>2</v>
      </c>
    </row>
    <row r="22" spans="1:2" x14ac:dyDescent="0.25">
      <c r="A22" t="s">
        <v>86</v>
      </c>
      <c r="B22">
        <v>2</v>
      </c>
    </row>
    <row r="23" spans="1:2" x14ac:dyDescent="0.25">
      <c r="A23" t="s">
        <v>39</v>
      </c>
      <c r="B23">
        <v>2</v>
      </c>
    </row>
    <row r="24" spans="1:2" x14ac:dyDescent="0.25">
      <c r="A24" t="s">
        <v>388</v>
      </c>
      <c r="B24">
        <v>1</v>
      </c>
    </row>
    <row r="25" spans="1:2" x14ac:dyDescent="0.25">
      <c r="A25" t="s">
        <v>13</v>
      </c>
      <c r="B25">
        <v>1</v>
      </c>
    </row>
    <row r="26" spans="1:2" x14ac:dyDescent="0.25">
      <c r="A26" t="s">
        <v>66</v>
      </c>
      <c r="B26">
        <v>1</v>
      </c>
    </row>
    <row r="27" spans="1:2" x14ac:dyDescent="0.25">
      <c r="A27" t="s">
        <v>57</v>
      </c>
      <c r="B27">
        <v>1</v>
      </c>
    </row>
    <row r="28" spans="1:2" x14ac:dyDescent="0.25">
      <c r="A28" t="s">
        <v>318</v>
      </c>
      <c r="B28">
        <v>1</v>
      </c>
    </row>
    <row r="29" spans="1:2" x14ac:dyDescent="0.25">
      <c r="A29" t="s">
        <v>51</v>
      </c>
      <c r="B29">
        <v>1</v>
      </c>
    </row>
    <row r="30" spans="1:2" x14ac:dyDescent="0.25">
      <c r="A30" t="s">
        <v>78</v>
      </c>
      <c r="B30">
        <v>1</v>
      </c>
    </row>
    <row r="31" spans="1:2" x14ac:dyDescent="0.25">
      <c r="A31" t="s">
        <v>389</v>
      </c>
      <c r="B31">
        <v>1</v>
      </c>
    </row>
    <row r="32" spans="1:2" x14ac:dyDescent="0.25">
      <c r="A32" t="s">
        <v>87</v>
      </c>
      <c r="B32">
        <v>1</v>
      </c>
    </row>
    <row r="33" spans="1:2" x14ac:dyDescent="0.25">
      <c r="A33" t="s">
        <v>18</v>
      </c>
      <c r="B33">
        <v>1</v>
      </c>
    </row>
    <row r="34" spans="1:2" x14ac:dyDescent="0.25">
      <c r="A34" t="s">
        <v>69</v>
      </c>
      <c r="B34">
        <v>1</v>
      </c>
    </row>
    <row r="35" spans="1:2" x14ac:dyDescent="0.25">
      <c r="A35" t="s">
        <v>100</v>
      </c>
      <c r="B35">
        <v>1</v>
      </c>
    </row>
    <row r="36" spans="1:2" x14ac:dyDescent="0.25">
      <c r="A36" t="s">
        <v>286</v>
      </c>
      <c r="B36">
        <v>1</v>
      </c>
    </row>
    <row r="37" spans="1:2" x14ac:dyDescent="0.25">
      <c r="A37" t="s">
        <v>325</v>
      </c>
      <c r="B37">
        <v>1</v>
      </c>
    </row>
    <row r="38" spans="1:2" x14ac:dyDescent="0.25">
      <c r="A38" t="s">
        <v>80</v>
      </c>
      <c r="B38">
        <v>1</v>
      </c>
    </row>
    <row r="39" spans="1:2" x14ac:dyDescent="0.25">
      <c r="A39" t="s">
        <v>188</v>
      </c>
      <c r="B39">
        <v>1</v>
      </c>
    </row>
    <row r="40" spans="1:2" x14ac:dyDescent="0.25">
      <c r="A40" t="s">
        <v>85</v>
      </c>
      <c r="B40">
        <v>1</v>
      </c>
    </row>
    <row r="41" spans="1:2" x14ac:dyDescent="0.25">
      <c r="A41" t="s">
        <v>46</v>
      </c>
      <c r="B41">
        <v>1</v>
      </c>
    </row>
    <row r="42" spans="1:2" x14ac:dyDescent="0.25">
      <c r="A42" t="s">
        <v>35</v>
      </c>
      <c r="B42">
        <v>1</v>
      </c>
    </row>
    <row r="43" spans="1:2" x14ac:dyDescent="0.25">
      <c r="A43" t="s">
        <v>97</v>
      </c>
      <c r="B43">
        <v>1</v>
      </c>
    </row>
    <row r="44" spans="1:2" x14ac:dyDescent="0.25">
      <c r="A44" t="s">
        <v>5</v>
      </c>
      <c r="B44">
        <v>1</v>
      </c>
    </row>
    <row r="45" spans="1:2" x14ac:dyDescent="0.25">
      <c r="A45" t="s">
        <v>285</v>
      </c>
      <c r="B45">
        <v>1</v>
      </c>
    </row>
    <row r="46" spans="1:2" x14ac:dyDescent="0.25">
      <c r="A46" t="s">
        <v>130</v>
      </c>
      <c r="B46">
        <v>1</v>
      </c>
    </row>
    <row r="47" spans="1:2" x14ac:dyDescent="0.25">
      <c r="A47" t="s">
        <v>6</v>
      </c>
      <c r="B47">
        <v>1</v>
      </c>
    </row>
    <row r="48" spans="1:2" x14ac:dyDescent="0.25">
      <c r="A48" t="s">
        <v>182</v>
      </c>
      <c r="B48">
        <v>1</v>
      </c>
    </row>
    <row r="49" spans="1:2" x14ac:dyDescent="0.25">
      <c r="A49" t="s">
        <v>36</v>
      </c>
      <c r="B49">
        <v>1</v>
      </c>
    </row>
    <row r="50" spans="1:2" x14ac:dyDescent="0.25">
      <c r="A50" t="s">
        <v>48</v>
      </c>
      <c r="B50">
        <v>1</v>
      </c>
    </row>
    <row r="51" spans="1:2" x14ac:dyDescent="0.25">
      <c r="A51" t="s">
        <v>101</v>
      </c>
      <c r="B51">
        <v>1</v>
      </c>
    </row>
    <row r="52" spans="1:2" x14ac:dyDescent="0.25">
      <c r="A52" t="s">
        <v>118</v>
      </c>
      <c r="B52">
        <v>1</v>
      </c>
    </row>
    <row r="53" spans="1:2" x14ac:dyDescent="0.25">
      <c r="A53" t="s">
        <v>288</v>
      </c>
      <c r="B53">
        <v>1</v>
      </c>
    </row>
    <row r="54" spans="1:2" x14ac:dyDescent="0.25">
      <c r="A54" t="s">
        <v>354</v>
      </c>
      <c r="B54">
        <v>1</v>
      </c>
    </row>
    <row r="55" spans="1:2" x14ac:dyDescent="0.25">
      <c r="A55" t="s">
        <v>68</v>
      </c>
      <c r="B55">
        <v>1</v>
      </c>
    </row>
    <row r="56" spans="1:2" x14ac:dyDescent="0.25">
      <c r="A56" t="s">
        <v>99</v>
      </c>
      <c r="B56">
        <v>1</v>
      </c>
    </row>
    <row r="57" spans="1:2" x14ac:dyDescent="0.25">
      <c r="A57" t="s">
        <v>116</v>
      </c>
      <c r="B57">
        <v>1</v>
      </c>
    </row>
    <row r="58" spans="1:2" x14ac:dyDescent="0.25">
      <c r="A58" t="s">
        <v>175</v>
      </c>
      <c r="B58">
        <v>1</v>
      </c>
    </row>
    <row r="59" spans="1:2" x14ac:dyDescent="0.25">
      <c r="A59" t="s">
        <v>4</v>
      </c>
      <c r="B59">
        <v>1</v>
      </c>
    </row>
    <row r="60" spans="1:2" x14ac:dyDescent="0.25">
      <c r="A60" t="s">
        <v>148</v>
      </c>
      <c r="B60">
        <v>1</v>
      </c>
    </row>
    <row r="61" spans="1:2" x14ac:dyDescent="0.25">
      <c r="A61" t="s">
        <v>390</v>
      </c>
      <c r="B61">
        <v>1</v>
      </c>
    </row>
    <row r="62" spans="1:2" x14ac:dyDescent="0.25">
      <c r="A62" t="s">
        <v>20</v>
      </c>
      <c r="B62">
        <v>1</v>
      </c>
    </row>
    <row r="63" spans="1:2" x14ac:dyDescent="0.25">
      <c r="A63" t="s">
        <v>49</v>
      </c>
      <c r="B63">
        <v>1</v>
      </c>
    </row>
    <row r="64" spans="1:2" x14ac:dyDescent="0.25">
      <c r="A64" t="s">
        <v>70</v>
      </c>
      <c r="B64">
        <v>1</v>
      </c>
    </row>
    <row r="65" spans="1:2" x14ac:dyDescent="0.25">
      <c r="A65" t="s">
        <v>103</v>
      </c>
      <c r="B65">
        <v>1</v>
      </c>
    </row>
    <row r="66" spans="1:2" x14ac:dyDescent="0.25">
      <c r="A66" t="s">
        <v>119</v>
      </c>
      <c r="B66">
        <v>1</v>
      </c>
    </row>
    <row r="67" spans="1:2" x14ac:dyDescent="0.25">
      <c r="A67" t="s">
        <v>381</v>
      </c>
      <c r="B67">
        <v>1</v>
      </c>
    </row>
    <row r="68" spans="1:2" x14ac:dyDescent="0.25">
      <c r="A68" t="s">
        <v>73</v>
      </c>
      <c r="B68">
        <v>1</v>
      </c>
    </row>
    <row r="69" spans="1:2" x14ac:dyDescent="0.25">
      <c r="A69" t="s">
        <v>132</v>
      </c>
      <c r="B69">
        <v>1</v>
      </c>
    </row>
    <row r="70" spans="1:2" x14ac:dyDescent="0.25">
      <c r="A70" t="s">
        <v>56</v>
      </c>
      <c r="B70">
        <v>1</v>
      </c>
    </row>
    <row r="71" spans="1:2" x14ac:dyDescent="0.25">
      <c r="A71" t="s">
        <v>353</v>
      </c>
      <c r="B71">
        <v>1</v>
      </c>
    </row>
    <row r="72" spans="1:2" x14ac:dyDescent="0.25">
      <c r="A72" t="s">
        <v>127</v>
      </c>
      <c r="B72">
        <v>1</v>
      </c>
    </row>
    <row r="73" spans="1:2" x14ac:dyDescent="0.25">
      <c r="A73" t="s">
        <v>183</v>
      </c>
      <c r="B73">
        <v>1</v>
      </c>
    </row>
    <row r="74" spans="1:2" x14ac:dyDescent="0.25">
      <c r="A74" t="s">
        <v>88</v>
      </c>
      <c r="B74">
        <v>1</v>
      </c>
    </row>
    <row r="75" spans="1:2" x14ac:dyDescent="0.25">
      <c r="A75" t="s">
        <v>47</v>
      </c>
      <c r="B75">
        <v>1</v>
      </c>
    </row>
    <row r="76" spans="1:2" x14ac:dyDescent="0.25">
      <c r="A76" t="s">
        <v>117</v>
      </c>
      <c r="B76">
        <v>1</v>
      </c>
    </row>
    <row r="77" spans="1:2" x14ac:dyDescent="0.25">
      <c r="A77" t="s">
        <v>287</v>
      </c>
      <c r="B77">
        <v>1</v>
      </c>
    </row>
    <row r="78" spans="1:2" x14ac:dyDescent="0.25">
      <c r="A78" t="s">
        <v>326</v>
      </c>
      <c r="B78">
        <v>1</v>
      </c>
    </row>
    <row r="79" spans="1:2" x14ac:dyDescent="0.25">
      <c r="A79" t="s">
        <v>139</v>
      </c>
      <c r="B79">
        <v>1</v>
      </c>
    </row>
    <row r="80" spans="1:2" x14ac:dyDescent="0.25">
      <c r="A80" t="s">
        <v>67</v>
      </c>
      <c r="B80">
        <v>1</v>
      </c>
    </row>
    <row r="81" spans="1:2" x14ac:dyDescent="0.25">
      <c r="A81" t="s">
        <v>98</v>
      </c>
      <c r="B81">
        <v>1</v>
      </c>
    </row>
    <row r="82" spans="1:2" x14ac:dyDescent="0.25">
      <c r="A82" t="s">
        <v>2</v>
      </c>
      <c r="B82">
        <v>1</v>
      </c>
    </row>
    <row r="83" spans="1:2" x14ac:dyDescent="0.25">
      <c r="A83" t="s">
        <v>282</v>
      </c>
      <c r="B83">
        <v>1</v>
      </c>
    </row>
    <row r="84" spans="1:2" x14ac:dyDescent="0.25">
      <c r="A84" t="s">
        <v>242</v>
      </c>
      <c r="B84">
        <v>1</v>
      </c>
    </row>
    <row r="85" spans="1:2" x14ac:dyDescent="0.25">
      <c r="A85" t="s">
        <v>27</v>
      </c>
      <c r="B85">
        <v>1</v>
      </c>
    </row>
    <row r="86" spans="1:2" x14ac:dyDescent="0.25">
      <c r="A86" t="s">
        <v>7</v>
      </c>
      <c r="B86">
        <v>1</v>
      </c>
    </row>
    <row r="87" spans="1:2" x14ac:dyDescent="0.25">
      <c r="A87" t="s">
        <v>102</v>
      </c>
      <c r="B87">
        <v>1</v>
      </c>
    </row>
    <row r="88" spans="1:2" x14ac:dyDescent="0.25">
      <c r="A88" t="s">
        <v>241</v>
      </c>
      <c r="B88">
        <v>1</v>
      </c>
    </row>
    <row r="89" spans="1:2" x14ac:dyDescent="0.25">
      <c r="A89" t="s">
        <v>163</v>
      </c>
      <c r="B89">
        <v>1</v>
      </c>
    </row>
    <row r="90" spans="1:2" x14ac:dyDescent="0.25">
      <c r="A90" t="s">
        <v>26</v>
      </c>
    </row>
    <row r="91" spans="1:2" x14ac:dyDescent="0.25">
      <c r="A91" t="s">
        <v>105</v>
      </c>
    </row>
    <row r="92" spans="1:2" x14ac:dyDescent="0.25">
      <c r="A92" t="s">
        <v>344</v>
      </c>
    </row>
    <row r="93" spans="1:2" x14ac:dyDescent="0.25">
      <c r="A93" t="s">
        <v>26</v>
      </c>
    </row>
    <row r="94" spans="1:2" x14ac:dyDescent="0.25">
      <c r="A94" t="s">
        <v>324</v>
      </c>
    </row>
    <row r="95" spans="1:2" x14ac:dyDescent="0.25">
      <c r="A95" t="s">
        <v>83</v>
      </c>
    </row>
    <row r="96" spans="1:2" x14ac:dyDescent="0.25">
      <c r="A96" t="s">
        <v>62</v>
      </c>
    </row>
    <row r="97" spans="1:1" x14ac:dyDescent="0.25">
      <c r="A97" t="s">
        <v>28</v>
      </c>
    </row>
    <row r="98" spans="1:1" x14ac:dyDescent="0.25">
      <c r="A98" t="s">
        <v>26</v>
      </c>
    </row>
    <row r="99" spans="1:1" x14ac:dyDescent="0.25">
      <c r="A99" t="s">
        <v>62</v>
      </c>
    </row>
    <row r="100" spans="1:1" x14ac:dyDescent="0.25">
      <c r="A100" t="s">
        <v>26</v>
      </c>
    </row>
    <row r="101" spans="1:1" x14ac:dyDescent="0.25">
      <c r="A101" t="s">
        <v>26</v>
      </c>
    </row>
    <row r="102" spans="1:1" x14ac:dyDescent="0.25">
      <c r="A102" t="s">
        <v>8</v>
      </c>
    </row>
    <row r="103" spans="1:1" x14ac:dyDescent="0.25">
      <c r="A103" t="s">
        <v>24</v>
      </c>
    </row>
    <row r="104" spans="1:1" x14ac:dyDescent="0.25">
      <c r="A104" t="s">
        <v>327</v>
      </c>
    </row>
    <row r="105" spans="1:1" x14ac:dyDescent="0.25">
      <c r="A105" t="s">
        <v>81</v>
      </c>
    </row>
    <row r="106" spans="1:1" x14ac:dyDescent="0.25">
      <c r="A106" t="s">
        <v>26</v>
      </c>
    </row>
    <row r="107" spans="1:1" x14ac:dyDescent="0.25">
      <c r="A107" t="s">
        <v>29</v>
      </c>
    </row>
    <row r="108" spans="1:1" x14ac:dyDescent="0.25">
      <c r="A108" t="s">
        <v>43</v>
      </c>
    </row>
    <row r="109" spans="1:1" x14ac:dyDescent="0.25">
      <c r="A109" t="s">
        <v>26</v>
      </c>
    </row>
    <row r="110" spans="1:1" x14ac:dyDescent="0.25">
      <c r="A110" t="s">
        <v>26</v>
      </c>
    </row>
    <row r="111" spans="1:1" x14ac:dyDescent="0.25">
      <c r="A111" t="s">
        <v>26</v>
      </c>
    </row>
    <row r="112" spans="1:1" x14ac:dyDescent="0.25">
      <c r="A112" t="s">
        <v>62</v>
      </c>
    </row>
    <row r="113" spans="1:1" x14ac:dyDescent="0.25">
      <c r="A113" t="s">
        <v>84</v>
      </c>
    </row>
    <row r="114" spans="1:1" x14ac:dyDescent="0.25">
      <c r="A114" t="s">
        <v>26</v>
      </c>
    </row>
    <row r="115" spans="1:1" x14ac:dyDescent="0.25">
      <c r="A115" t="s">
        <v>26</v>
      </c>
    </row>
    <row r="116" spans="1:1" x14ac:dyDescent="0.25">
      <c r="A116" t="s">
        <v>96</v>
      </c>
    </row>
    <row r="117" spans="1:1" x14ac:dyDescent="0.25">
      <c r="A117" t="s">
        <v>28</v>
      </c>
    </row>
    <row r="118" spans="1:1" x14ac:dyDescent="0.25">
      <c r="A118" t="s">
        <v>79</v>
      </c>
    </row>
    <row r="119" spans="1:1" x14ac:dyDescent="0.25">
      <c r="A119" t="s">
        <v>344</v>
      </c>
    </row>
    <row r="120" spans="1:1" x14ac:dyDescent="0.25">
      <c r="A120" t="s">
        <v>8</v>
      </c>
    </row>
    <row r="121" spans="1:1" x14ac:dyDescent="0.25">
      <c r="A121" t="s">
        <v>60</v>
      </c>
    </row>
    <row r="122" spans="1:1" x14ac:dyDescent="0.25">
      <c r="A122" t="s">
        <v>43</v>
      </c>
    </row>
    <row r="123" spans="1:1" x14ac:dyDescent="0.25">
      <c r="A123" t="s">
        <v>25</v>
      </c>
    </row>
    <row r="124" spans="1:1" x14ac:dyDescent="0.25">
      <c r="A124" t="s">
        <v>26</v>
      </c>
    </row>
    <row r="125" spans="1:1" x14ac:dyDescent="0.25">
      <c r="A125" t="s">
        <v>28</v>
      </c>
    </row>
    <row r="126" spans="1:1" x14ac:dyDescent="0.25">
      <c r="A126" t="s">
        <v>39</v>
      </c>
    </row>
    <row r="127" spans="1:1" x14ac:dyDescent="0.25">
      <c r="A127" t="s">
        <v>86</v>
      </c>
    </row>
    <row r="128" spans="1:1" x14ac:dyDescent="0.25">
      <c r="A128" t="s">
        <v>26</v>
      </c>
    </row>
    <row r="129" spans="1:1" x14ac:dyDescent="0.25">
      <c r="A129" t="s">
        <v>37</v>
      </c>
    </row>
    <row r="130" spans="1:1" x14ac:dyDescent="0.25">
      <c r="A130" t="s">
        <v>42</v>
      </c>
    </row>
    <row r="131" spans="1:1" x14ac:dyDescent="0.25">
      <c r="A131" t="s">
        <v>62</v>
      </c>
    </row>
  </sheetData>
  <conditionalFormatting sqref="A54:A65 A67:A78 A2:A13 A80:A91 A15:A26 A93:A104 A28:A39 A106:A117 A41:A52 A119:A130">
    <cfRule type="cellIs" dxfId="158" priority="64" operator="equal">
      <formula>"user"</formula>
    </cfRule>
    <cfRule type="cellIs" dxfId="157" priority="65" operator="equal">
      <formula>"access"</formula>
    </cfRule>
  </conditionalFormatting>
  <conditionalFormatting sqref="A2:A131">
    <cfRule type="cellIs" dxfId="156" priority="63" operator="equal">
      <formula>"employee"</formula>
    </cfRule>
  </conditionalFormatting>
  <conditionalFormatting sqref="A2:A131">
    <cfRule type="cellIs" dxfId="155" priority="62" operator="equal">
      <formula>"secure"</formula>
    </cfRule>
  </conditionalFormatting>
  <conditionalFormatting sqref="A2:A131">
    <cfRule type="cellIs" dxfId="154" priority="61" operator="equal">
      <formula>"microsoft"</formula>
    </cfRule>
  </conditionalFormatting>
  <conditionalFormatting sqref="A2:A131">
    <cfRule type="cellIs" dxfId="153" priority="60" operator="equal">
      <formula>"network"</formula>
    </cfRule>
  </conditionalFormatting>
  <conditionalFormatting sqref="L1:L5 A66 A79 A14 A92 A27 A105 A40 A118 A53 A131">
    <cfRule type="cellIs" dxfId="152" priority="42" operator="equal">
      <formula>"access"</formula>
    </cfRule>
  </conditionalFormatting>
  <conditionalFormatting sqref="L1:L5">
    <cfRule type="cellIs" dxfId="151" priority="41" operator="equal">
      <formula>"employee"</formula>
    </cfRule>
  </conditionalFormatting>
  <conditionalFormatting sqref="L1:L5">
    <cfRule type="cellIs" dxfId="150" priority="40" operator="equal">
      <formula>"secure"</formula>
    </cfRule>
  </conditionalFormatting>
  <conditionalFormatting sqref="L1:L5">
    <cfRule type="cellIs" dxfId="149" priority="39" operator="equal">
      <formula>"microsoft"</formula>
    </cfRule>
  </conditionalFormatting>
  <conditionalFormatting sqref="L1:L5">
    <cfRule type="cellIs" dxfId="148" priority="38" operator="equal">
      <formula>"network"</formula>
    </cfRule>
  </conditionalFormatting>
  <conditionalFormatting sqref="L1:L5 A2:A131">
    <cfRule type="cellIs" dxfId="147" priority="37" operator="equal">
      <formula>"server"</formula>
    </cfRule>
  </conditionalFormatting>
  <conditionalFormatting sqref="A1">
    <cfRule type="cellIs" dxfId="146" priority="6" operator="equal">
      <formula>"user"</formula>
    </cfRule>
    <cfRule type="cellIs" dxfId="145" priority="7" operator="equal">
      <formula>"access"</formula>
    </cfRule>
  </conditionalFormatting>
  <conditionalFormatting sqref="A1">
    <cfRule type="cellIs" dxfId="144" priority="5" operator="equal">
      <formula>"employee"</formula>
    </cfRule>
  </conditionalFormatting>
  <conditionalFormatting sqref="A1">
    <cfRule type="cellIs" dxfId="143" priority="4" operator="equal">
      <formula>"secure"</formula>
    </cfRule>
  </conditionalFormatting>
  <conditionalFormatting sqref="A1">
    <cfRule type="cellIs" dxfId="142" priority="3" operator="equal">
      <formula>"microsoft"</formula>
    </cfRule>
  </conditionalFormatting>
  <conditionalFormatting sqref="A1">
    <cfRule type="cellIs" dxfId="141" priority="2" operator="equal">
      <formula>"network"</formula>
    </cfRule>
  </conditionalFormatting>
  <conditionalFormatting sqref="A1">
    <cfRule type="cellIs" dxfId="140" priority="1" operator="equal">
      <formula>"server"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5"/>
  <sheetViews>
    <sheetView workbookViewId="0">
      <selection activeCell="F24" sqref="F24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62</v>
      </c>
      <c r="B2">
        <v>3</v>
      </c>
    </row>
    <row r="3" spans="1:2" x14ac:dyDescent="0.25">
      <c r="A3" t="s">
        <v>26</v>
      </c>
      <c r="B3">
        <v>3</v>
      </c>
    </row>
    <row r="4" spans="1:2" x14ac:dyDescent="0.25">
      <c r="A4" t="s">
        <v>84</v>
      </c>
      <c r="B4">
        <v>2</v>
      </c>
    </row>
    <row r="5" spans="1:2" x14ac:dyDescent="0.25">
      <c r="A5" t="s">
        <v>8</v>
      </c>
      <c r="B5">
        <v>2</v>
      </c>
    </row>
    <row r="6" spans="1:2" x14ac:dyDescent="0.25">
      <c r="A6" t="s">
        <v>83</v>
      </c>
      <c r="B6">
        <v>1</v>
      </c>
    </row>
    <row r="7" spans="1:2" x14ac:dyDescent="0.25">
      <c r="A7" t="s">
        <v>29</v>
      </c>
      <c r="B7">
        <v>1</v>
      </c>
    </row>
    <row r="8" spans="1:2" x14ac:dyDescent="0.25">
      <c r="A8" t="s">
        <v>388</v>
      </c>
      <c r="B8">
        <v>1</v>
      </c>
    </row>
    <row r="9" spans="1:2" x14ac:dyDescent="0.25">
      <c r="A9" t="s">
        <v>43</v>
      </c>
      <c r="B9">
        <v>1</v>
      </c>
    </row>
    <row r="10" spans="1:2" x14ac:dyDescent="0.25">
      <c r="A10" t="s">
        <v>85</v>
      </c>
      <c r="B10">
        <v>1</v>
      </c>
    </row>
    <row r="11" spans="1:2" x14ac:dyDescent="0.25">
      <c r="A11" t="s">
        <v>60</v>
      </c>
      <c r="B11">
        <v>1</v>
      </c>
    </row>
    <row r="12" spans="1:2" x14ac:dyDescent="0.25">
      <c r="A12" t="s">
        <v>188</v>
      </c>
      <c r="B12">
        <v>1</v>
      </c>
    </row>
    <row r="13" spans="1:2" x14ac:dyDescent="0.25">
      <c r="A13" t="s">
        <v>88</v>
      </c>
      <c r="B13">
        <v>1</v>
      </c>
    </row>
    <row r="14" spans="1:2" x14ac:dyDescent="0.25">
      <c r="A14" t="s">
        <v>132</v>
      </c>
      <c r="B14">
        <v>1</v>
      </c>
    </row>
    <row r="15" spans="1:2" x14ac:dyDescent="0.25">
      <c r="A15" t="s">
        <v>87</v>
      </c>
      <c r="B15">
        <v>1</v>
      </c>
    </row>
    <row r="16" spans="1:2" x14ac:dyDescent="0.25">
      <c r="A16" t="s">
        <v>389</v>
      </c>
      <c r="B16">
        <v>1</v>
      </c>
    </row>
    <row r="17" spans="1:2" x14ac:dyDescent="0.25">
      <c r="A17" t="s">
        <v>86</v>
      </c>
      <c r="B17">
        <v>1</v>
      </c>
    </row>
    <row r="18" spans="1:2" x14ac:dyDescent="0.25">
      <c r="A18" t="s">
        <v>344</v>
      </c>
      <c r="B18">
        <v>1</v>
      </c>
    </row>
    <row r="19" spans="1:2" x14ac:dyDescent="0.25">
      <c r="A19" t="s">
        <v>139</v>
      </c>
      <c r="B19">
        <v>1</v>
      </c>
    </row>
    <row r="20" spans="1:2" x14ac:dyDescent="0.25">
      <c r="A20" t="s">
        <v>36</v>
      </c>
      <c r="B20">
        <v>1</v>
      </c>
    </row>
    <row r="21" spans="1:2" x14ac:dyDescent="0.25">
      <c r="A21" t="s">
        <v>182</v>
      </c>
      <c r="B21">
        <v>1</v>
      </c>
    </row>
    <row r="22" spans="1:2" x14ac:dyDescent="0.25">
      <c r="A22" t="s">
        <v>7</v>
      </c>
      <c r="B22">
        <v>1</v>
      </c>
    </row>
    <row r="23" spans="1:2" x14ac:dyDescent="0.25">
      <c r="A23" t="s">
        <v>25</v>
      </c>
      <c r="B23">
        <v>1</v>
      </c>
    </row>
    <row r="24" spans="1:2" x14ac:dyDescent="0.25">
      <c r="A24" t="s">
        <v>20</v>
      </c>
      <c r="B24">
        <v>1</v>
      </c>
    </row>
    <row r="25" spans="1:2" x14ac:dyDescent="0.25">
      <c r="A25" t="s">
        <v>390</v>
      </c>
      <c r="B25">
        <v>1</v>
      </c>
    </row>
  </sheetData>
  <conditionalFormatting sqref="A2:A25">
    <cfRule type="cellIs" dxfId="139" priority="7" operator="equal">
      <formula>"user"</formula>
    </cfRule>
    <cfRule type="cellIs" dxfId="138" priority="8" operator="equal">
      <formula>"access"</formula>
    </cfRule>
  </conditionalFormatting>
  <conditionalFormatting sqref="A2:A25">
    <cfRule type="cellIs" dxfId="137" priority="6" operator="equal">
      <formula>"employee"</formula>
    </cfRule>
  </conditionalFormatting>
  <conditionalFormatting sqref="A2:A25">
    <cfRule type="cellIs" dxfId="136" priority="5" operator="equal">
      <formula>"secure"</formula>
    </cfRule>
  </conditionalFormatting>
  <conditionalFormatting sqref="A1">
    <cfRule type="cellIs" dxfId="135" priority="3" operator="equal">
      <formula>"user"</formula>
    </cfRule>
    <cfRule type="cellIs" dxfId="134" priority="4" operator="equal">
      <formula>"access"</formula>
    </cfRule>
  </conditionalFormatting>
  <conditionalFormatting sqref="A1">
    <cfRule type="cellIs" dxfId="133" priority="2" operator="equal">
      <formula>"employee"</formula>
    </cfRule>
  </conditionalFormatting>
  <conditionalFormatting sqref="A1">
    <cfRule type="cellIs" dxfId="132" priority="1" operator="equal">
      <formula>"secure"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93"/>
  <sheetViews>
    <sheetView workbookViewId="0">
      <selection activeCell="A3" sqref="A3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14</v>
      </c>
    </row>
    <row r="3" spans="1:2" x14ac:dyDescent="0.25">
      <c r="A3" t="s">
        <v>62</v>
      </c>
      <c r="B3">
        <v>3</v>
      </c>
    </row>
    <row r="4" spans="1:2" x14ac:dyDescent="0.25">
      <c r="A4" t="s">
        <v>344</v>
      </c>
      <c r="B4">
        <v>3</v>
      </c>
    </row>
    <row r="5" spans="1:2" x14ac:dyDescent="0.25">
      <c r="A5" t="s">
        <v>28</v>
      </c>
      <c r="B5">
        <v>3</v>
      </c>
    </row>
    <row r="6" spans="1:2" x14ac:dyDescent="0.25">
      <c r="A6" t="s">
        <v>139</v>
      </c>
      <c r="B6">
        <v>3</v>
      </c>
    </row>
    <row r="7" spans="1:2" x14ac:dyDescent="0.25">
      <c r="A7" t="s">
        <v>8</v>
      </c>
      <c r="B7">
        <v>3</v>
      </c>
    </row>
    <row r="8" spans="1:2" x14ac:dyDescent="0.25">
      <c r="A8" t="s">
        <v>24</v>
      </c>
      <c r="B8">
        <v>3</v>
      </c>
    </row>
    <row r="9" spans="1:2" x14ac:dyDescent="0.25">
      <c r="A9" t="s">
        <v>83</v>
      </c>
      <c r="B9">
        <v>2</v>
      </c>
    </row>
    <row r="10" spans="1:2" x14ac:dyDescent="0.25">
      <c r="A10" t="s">
        <v>29</v>
      </c>
      <c r="B10">
        <v>2</v>
      </c>
    </row>
    <row r="11" spans="1:2" x14ac:dyDescent="0.25">
      <c r="A11" t="s">
        <v>43</v>
      </c>
      <c r="B11">
        <v>2</v>
      </c>
    </row>
    <row r="12" spans="1:2" x14ac:dyDescent="0.25">
      <c r="A12" t="s">
        <v>48</v>
      </c>
      <c r="B12">
        <v>2</v>
      </c>
    </row>
    <row r="13" spans="1:2" x14ac:dyDescent="0.25">
      <c r="A13" t="s">
        <v>4</v>
      </c>
      <c r="B13">
        <v>2</v>
      </c>
    </row>
    <row r="14" spans="1:2" x14ac:dyDescent="0.25">
      <c r="A14" t="s">
        <v>327</v>
      </c>
      <c r="B14">
        <v>2</v>
      </c>
    </row>
    <row r="15" spans="1:2" x14ac:dyDescent="0.25">
      <c r="A15" t="s">
        <v>324</v>
      </c>
      <c r="B15">
        <v>2</v>
      </c>
    </row>
    <row r="16" spans="1:2" x14ac:dyDescent="0.25">
      <c r="A16" t="s">
        <v>60</v>
      </c>
      <c r="B16">
        <v>2</v>
      </c>
    </row>
    <row r="17" spans="1:2" x14ac:dyDescent="0.25">
      <c r="A17" t="s">
        <v>84</v>
      </c>
      <c r="B17">
        <v>2</v>
      </c>
    </row>
    <row r="18" spans="1:2" x14ac:dyDescent="0.25">
      <c r="A18" t="s">
        <v>96</v>
      </c>
      <c r="B18">
        <v>2</v>
      </c>
    </row>
    <row r="19" spans="1:2" x14ac:dyDescent="0.25">
      <c r="A19" t="s">
        <v>39</v>
      </c>
      <c r="B19">
        <v>2</v>
      </c>
    </row>
    <row r="20" spans="1:2" x14ac:dyDescent="0.25">
      <c r="A20" t="s">
        <v>86</v>
      </c>
      <c r="B20">
        <v>2</v>
      </c>
    </row>
    <row r="21" spans="1:2" x14ac:dyDescent="0.25">
      <c r="A21" t="s">
        <v>282</v>
      </c>
      <c r="B21">
        <v>2</v>
      </c>
    </row>
    <row r="22" spans="1:2" x14ac:dyDescent="0.25">
      <c r="A22" t="s">
        <v>13</v>
      </c>
      <c r="B22">
        <v>1</v>
      </c>
    </row>
    <row r="23" spans="1:2" x14ac:dyDescent="0.25">
      <c r="A23" t="s">
        <v>66</v>
      </c>
      <c r="B23">
        <v>1</v>
      </c>
    </row>
    <row r="24" spans="1:2" x14ac:dyDescent="0.25">
      <c r="A24" t="s">
        <v>42</v>
      </c>
      <c r="B24">
        <v>1</v>
      </c>
    </row>
    <row r="25" spans="1:2" x14ac:dyDescent="0.25">
      <c r="A25" t="s">
        <v>57</v>
      </c>
      <c r="B25">
        <v>1</v>
      </c>
    </row>
    <row r="26" spans="1:2" x14ac:dyDescent="0.25">
      <c r="A26" t="s">
        <v>290</v>
      </c>
      <c r="B26">
        <v>1</v>
      </c>
    </row>
    <row r="27" spans="1:2" x14ac:dyDescent="0.25">
      <c r="A27" t="s">
        <v>204</v>
      </c>
      <c r="B27">
        <v>1</v>
      </c>
    </row>
    <row r="28" spans="1:2" x14ac:dyDescent="0.25">
      <c r="A28" t="s">
        <v>318</v>
      </c>
      <c r="B28">
        <v>1</v>
      </c>
    </row>
    <row r="29" spans="1:2" x14ac:dyDescent="0.25">
      <c r="A29" t="s">
        <v>51</v>
      </c>
      <c r="B29">
        <v>1</v>
      </c>
    </row>
    <row r="30" spans="1:2" x14ac:dyDescent="0.25">
      <c r="A30" t="s">
        <v>388</v>
      </c>
      <c r="B30">
        <v>1</v>
      </c>
    </row>
    <row r="31" spans="1:2" x14ac:dyDescent="0.25">
      <c r="A31" t="s">
        <v>68</v>
      </c>
      <c r="B31">
        <v>1</v>
      </c>
    </row>
    <row r="32" spans="1:2" x14ac:dyDescent="0.25">
      <c r="A32" t="s">
        <v>99</v>
      </c>
      <c r="B32">
        <v>1</v>
      </c>
    </row>
    <row r="33" spans="1:2" x14ac:dyDescent="0.25">
      <c r="A33" t="s">
        <v>116</v>
      </c>
      <c r="B33">
        <v>1</v>
      </c>
    </row>
    <row r="34" spans="1:2" x14ac:dyDescent="0.25">
      <c r="A34" t="s">
        <v>175</v>
      </c>
      <c r="B34">
        <v>1</v>
      </c>
    </row>
    <row r="35" spans="1:2" x14ac:dyDescent="0.25">
      <c r="A35" t="s">
        <v>291</v>
      </c>
      <c r="B35">
        <v>1</v>
      </c>
    </row>
    <row r="36" spans="1:2" x14ac:dyDescent="0.25">
      <c r="A36" t="s">
        <v>46</v>
      </c>
      <c r="B36">
        <v>1</v>
      </c>
    </row>
    <row r="37" spans="1:2" x14ac:dyDescent="0.25">
      <c r="A37" t="s">
        <v>35</v>
      </c>
      <c r="B37">
        <v>1</v>
      </c>
    </row>
    <row r="38" spans="1:2" x14ac:dyDescent="0.25">
      <c r="A38" t="s">
        <v>85</v>
      </c>
      <c r="B38">
        <v>1</v>
      </c>
    </row>
    <row r="39" spans="1:2" x14ac:dyDescent="0.25">
      <c r="A39" t="s">
        <v>97</v>
      </c>
      <c r="B39">
        <v>1</v>
      </c>
    </row>
    <row r="40" spans="1:2" x14ac:dyDescent="0.25">
      <c r="A40" t="s">
        <v>5</v>
      </c>
      <c r="B40">
        <v>1</v>
      </c>
    </row>
    <row r="41" spans="1:2" x14ac:dyDescent="0.25">
      <c r="A41" t="s">
        <v>285</v>
      </c>
      <c r="B41">
        <v>1</v>
      </c>
    </row>
    <row r="42" spans="1:2" x14ac:dyDescent="0.25">
      <c r="A42" t="s">
        <v>222</v>
      </c>
      <c r="B42">
        <v>1</v>
      </c>
    </row>
    <row r="43" spans="1:2" x14ac:dyDescent="0.25">
      <c r="A43" t="s">
        <v>130</v>
      </c>
      <c r="B43">
        <v>1</v>
      </c>
    </row>
    <row r="44" spans="1:2" x14ac:dyDescent="0.25">
      <c r="A44" t="s">
        <v>188</v>
      </c>
      <c r="B44">
        <v>1</v>
      </c>
    </row>
    <row r="45" spans="1:2" x14ac:dyDescent="0.25">
      <c r="A45" t="s">
        <v>47</v>
      </c>
      <c r="B45">
        <v>1</v>
      </c>
    </row>
    <row r="46" spans="1:2" x14ac:dyDescent="0.25">
      <c r="A46" t="s">
        <v>88</v>
      </c>
      <c r="B46">
        <v>1</v>
      </c>
    </row>
    <row r="47" spans="1:2" x14ac:dyDescent="0.25">
      <c r="A47" t="s">
        <v>117</v>
      </c>
      <c r="B47">
        <v>1</v>
      </c>
    </row>
    <row r="48" spans="1:2" x14ac:dyDescent="0.25">
      <c r="A48" t="s">
        <v>287</v>
      </c>
      <c r="B48">
        <v>1</v>
      </c>
    </row>
    <row r="49" spans="1:2" x14ac:dyDescent="0.25">
      <c r="A49" t="s">
        <v>292</v>
      </c>
      <c r="B49">
        <v>1</v>
      </c>
    </row>
    <row r="50" spans="1:2" x14ac:dyDescent="0.25">
      <c r="A50" t="s">
        <v>52</v>
      </c>
      <c r="B50">
        <v>1</v>
      </c>
    </row>
    <row r="51" spans="1:2" x14ac:dyDescent="0.25">
      <c r="A51" t="s">
        <v>326</v>
      </c>
      <c r="B51">
        <v>1</v>
      </c>
    </row>
    <row r="52" spans="1:2" x14ac:dyDescent="0.25">
      <c r="A52" t="s">
        <v>102</v>
      </c>
      <c r="B52">
        <v>1</v>
      </c>
    </row>
    <row r="53" spans="1:2" x14ac:dyDescent="0.25">
      <c r="A53" t="s">
        <v>293</v>
      </c>
      <c r="B53">
        <v>1</v>
      </c>
    </row>
    <row r="54" spans="1:2" x14ac:dyDescent="0.25">
      <c r="A54" t="s">
        <v>91</v>
      </c>
      <c r="B54">
        <v>1</v>
      </c>
    </row>
    <row r="55" spans="1:2" x14ac:dyDescent="0.25">
      <c r="A55" t="s">
        <v>241</v>
      </c>
      <c r="B55">
        <v>1</v>
      </c>
    </row>
    <row r="56" spans="1:2" x14ac:dyDescent="0.25">
      <c r="A56" t="s">
        <v>7</v>
      </c>
      <c r="B56">
        <v>1</v>
      </c>
    </row>
    <row r="57" spans="1:2" x14ac:dyDescent="0.25">
      <c r="A57" t="s">
        <v>163</v>
      </c>
      <c r="B57">
        <v>1</v>
      </c>
    </row>
    <row r="58" spans="1:2" x14ac:dyDescent="0.25">
      <c r="A58" t="s">
        <v>37</v>
      </c>
      <c r="B58">
        <v>1</v>
      </c>
    </row>
    <row r="59" spans="1:2" x14ac:dyDescent="0.25">
      <c r="A59" t="s">
        <v>25</v>
      </c>
      <c r="B59">
        <v>1</v>
      </c>
    </row>
    <row r="60" spans="1:2" x14ac:dyDescent="0.25">
      <c r="A60" t="s">
        <v>56</v>
      </c>
      <c r="B60">
        <v>1</v>
      </c>
    </row>
    <row r="61" spans="1:2" x14ac:dyDescent="0.25">
      <c r="A61" t="s">
        <v>199</v>
      </c>
      <c r="B61">
        <v>1</v>
      </c>
    </row>
    <row r="62" spans="1:2" x14ac:dyDescent="0.25">
      <c r="A62" t="s">
        <v>353</v>
      </c>
      <c r="B62">
        <v>1</v>
      </c>
    </row>
    <row r="63" spans="1:2" x14ac:dyDescent="0.25">
      <c r="A63" t="s">
        <v>127</v>
      </c>
      <c r="B63">
        <v>1</v>
      </c>
    </row>
    <row r="64" spans="1:2" x14ac:dyDescent="0.25">
      <c r="A64" t="s">
        <v>132</v>
      </c>
      <c r="B64">
        <v>1</v>
      </c>
    </row>
    <row r="65" spans="1:2" x14ac:dyDescent="0.25">
      <c r="A65" t="s">
        <v>18</v>
      </c>
      <c r="B65">
        <v>1</v>
      </c>
    </row>
    <row r="66" spans="1:2" x14ac:dyDescent="0.25">
      <c r="A66" t="s">
        <v>69</v>
      </c>
      <c r="B66">
        <v>1</v>
      </c>
    </row>
    <row r="67" spans="1:2" x14ac:dyDescent="0.25">
      <c r="A67" t="s">
        <v>87</v>
      </c>
      <c r="B67">
        <v>1</v>
      </c>
    </row>
    <row r="68" spans="1:2" x14ac:dyDescent="0.25">
      <c r="A68" t="s">
        <v>100</v>
      </c>
      <c r="B68">
        <v>1</v>
      </c>
    </row>
    <row r="69" spans="1:2" x14ac:dyDescent="0.25">
      <c r="A69" t="s">
        <v>105</v>
      </c>
      <c r="B69">
        <v>1</v>
      </c>
    </row>
    <row r="70" spans="1:2" x14ac:dyDescent="0.25">
      <c r="A70" t="s">
        <v>286</v>
      </c>
      <c r="B70">
        <v>1</v>
      </c>
    </row>
    <row r="71" spans="1:2" x14ac:dyDescent="0.25">
      <c r="A71" t="s">
        <v>148</v>
      </c>
      <c r="B71">
        <v>1</v>
      </c>
    </row>
    <row r="72" spans="1:2" x14ac:dyDescent="0.25">
      <c r="A72" t="s">
        <v>325</v>
      </c>
      <c r="B72">
        <v>1</v>
      </c>
    </row>
    <row r="73" spans="1:2" x14ac:dyDescent="0.25">
      <c r="A73" t="s">
        <v>389</v>
      </c>
      <c r="B73">
        <v>1</v>
      </c>
    </row>
    <row r="74" spans="1:2" x14ac:dyDescent="0.25">
      <c r="A74" t="s">
        <v>67</v>
      </c>
      <c r="B74">
        <v>1</v>
      </c>
    </row>
    <row r="75" spans="1:2" x14ac:dyDescent="0.25">
      <c r="A75" t="s">
        <v>98</v>
      </c>
      <c r="B75">
        <v>1</v>
      </c>
    </row>
    <row r="76" spans="1:2" x14ac:dyDescent="0.25">
      <c r="A76" t="s">
        <v>2</v>
      </c>
      <c r="B76">
        <v>1</v>
      </c>
    </row>
    <row r="77" spans="1:2" x14ac:dyDescent="0.25">
      <c r="A77" t="s">
        <v>242</v>
      </c>
      <c r="B77">
        <v>1</v>
      </c>
    </row>
    <row r="78" spans="1:2" x14ac:dyDescent="0.25">
      <c r="A78" t="s">
        <v>101</v>
      </c>
      <c r="B78">
        <v>1</v>
      </c>
    </row>
    <row r="79" spans="1:2" x14ac:dyDescent="0.25">
      <c r="A79" t="s">
        <v>118</v>
      </c>
      <c r="B79">
        <v>1</v>
      </c>
    </row>
    <row r="80" spans="1:2" x14ac:dyDescent="0.25">
      <c r="A80" t="s">
        <v>288</v>
      </c>
      <c r="B80">
        <v>1</v>
      </c>
    </row>
    <row r="81" spans="1:2" x14ac:dyDescent="0.25">
      <c r="A81" t="s">
        <v>322</v>
      </c>
      <c r="B81">
        <v>1</v>
      </c>
    </row>
    <row r="82" spans="1:2" x14ac:dyDescent="0.25">
      <c r="A82" t="s">
        <v>36</v>
      </c>
      <c r="B82">
        <v>1</v>
      </c>
    </row>
    <row r="83" spans="1:2" x14ac:dyDescent="0.25">
      <c r="A83" t="s">
        <v>354</v>
      </c>
      <c r="B83">
        <v>1</v>
      </c>
    </row>
    <row r="84" spans="1:2" x14ac:dyDescent="0.25">
      <c r="A84" t="s">
        <v>182</v>
      </c>
      <c r="B84">
        <v>1</v>
      </c>
    </row>
    <row r="85" spans="1:2" x14ac:dyDescent="0.25">
      <c r="A85" t="s">
        <v>49</v>
      </c>
      <c r="B85">
        <v>1</v>
      </c>
    </row>
    <row r="86" spans="1:2" x14ac:dyDescent="0.25">
      <c r="A86" t="s">
        <v>70</v>
      </c>
      <c r="B86">
        <v>1</v>
      </c>
    </row>
    <row r="87" spans="1:2" x14ac:dyDescent="0.25">
      <c r="A87" t="s">
        <v>103</v>
      </c>
      <c r="B87">
        <v>1</v>
      </c>
    </row>
    <row r="88" spans="1:2" x14ac:dyDescent="0.25">
      <c r="A88" t="s">
        <v>119</v>
      </c>
      <c r="B88">
        <v>1</v>
      </c>
    </row>
    <row r="89" spans="1:2" x14ac:dyDescent="0.25">
      <c r="A89" t="s">
        <v>74</v>
      </c>
      <c r="B89">
        <v>1</v>
      </c>
    </row>
    <row r="90" spans="1:2" x14ac:dyDescent="0.25">
      <c r="A90" t="s">
        <v>20</v>
      </c>
      <c r="B90">
        <v>1</v>
      </c>
    </row>
    <row r="91" spans="1:2" x14ac:dyDescent="0.25">
      <c r="A91" t="s">
        <v>81</v>
      </c>
      <c r="B91">
        <v>1</v>
      </c>
    </row>
    <row r="92" spans="1:2" x14ac:dyDescent="0.25">
      <c r="A92" t="s">
        <v>381</v>
      </c>
      <c r="B92">
        <v>1</v>
      </c>
    </row>
    <row r="93" spans="1:2" x14ac:dyDescent="0.25">
      <c r="A93" t="s">
        <v>390</v>
      </c>
      <c r="B93">
        <v>1</v>
      </c>
    </row>
  </sheetData>
  <conditionalFormatting sqref="A2:A93">
    <cfRule type="cellIs" dxfId="131" priority="5" operator="equal">
      <formula>"user"</formula>
    </cfRule>
    <cfRule type="cellIs" dxfId="130" priority="6" operator="equal">
      <formula>"access"</formula>
    </cfRule>
  </conditionalFormatting>
  <conditionalFormatting sqref="A2:A93">
    <cfRule type="cellIs" dxfId="129" priority="4" operator="equal">
      <formula>"employee"</formula>
    </cfRule>
  </conditionalFormatting>
  <conditionalFormatting sqref="A1">
    <cfRule type="cellIs" dxfId="128" priority="2" operator="equal">
      <formula>"user"</formula>
    </cfRule>
    <cfRule type="cellIs" dxfId="127" priority="3" operator="equal">
      <formula>"access"</formula>
    </cfRule>
  </conditionalFormatting>
  <conditionalFormatting sqref="A1">
    <cfRule type="cellIs" dxfId="126" priority="1" operator="equal">
      <formula>"employee"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09"/>
  <sheetViews>
    <sheetView workbookViewId="0">
      <selection activeCell="B2" sqref="B2:B109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18</v>
      </c>
    </row>
    <row r="3" spans="1:2" x14ac:dyDescent="0.25">
      <c r="A3" t="s">
        <v>121</v>
      </c>
      <c r="B3">
        <v>4</v>
      </c>
    </row>
    <row r="4" spans="1:2" x14ac:dyDescent="0.25">
      <c r="A4" t="s">
        <v>96</v>
      </c>
      <c r="B4">
        <v>4</v>
      </c>
    </row>
    <row r="5" spans="1:2" x14ac:dyDescent="0.25">
      <c r="A5" t="s">
        <v>28</v>
      </c>
      <c r="B5">
        <v>4</v>
      </c>
    </row>
    <row r="6" spans="1:2" x14ac:dyDescent="0.25">
      <c r="A6" t="s">
        <v>132</v>
      </c>
      <c r="B6">
        <v>3</v>
      </c>
    </row>
    <row r="7" spans="1:2" x14ac:dyDescent="0.25">
      <c r="A7" t="s">
        <v>130</v>
      </c>
      <c r="B7">
        <v>3</v>
      </c>
    </row>
    <row r="8" spans="1:2" x14ac:dyDescent="0.25">
      <c r="A8" t="s">
        <v>127</v>
      </c>
      <c r="B8">
        <v>3</v>
      </c>
    </row>
    <row r="9" spans="1:2" x14ac:dyDescent="0.25">
      <c r="A9" t="s">
        <v>52</v>
      </c>
      <c r="B9">
        <v>3</v>
      </c>
    </row>
    <row r="10" spans="1:2" x14ac:dyDescent="0.25">
      <c r="A10" t="s">
        <v>344</v>
      </c>
      <c r="B10">
        <v>3</v>
      </c>
    </row>
    <row r="11" spans="1:2" x14ac:dyDescent="0.25">
      <c r="A11" t="s">
        <v>8</v>
      </c>
      <c r="B11">
        <v>3</v>
      </c>
    </row>
    <row r="12" spans="1:2" x14ac:dyDescent="0.25">
      <c r="A12" t="s">
        <v>139</v>
      </c>
      <c r="B12">
        <v>3</v>
      </c>
    </row>
    <row r="13" spans="1:2" x14ac:dyDescent="0.25">
      <c r="A13" t="s">
        <v>4</v>
      </c>
      <c r="B13">
        <v>3</v>
      </c>
    </row>
    <row r="14" spans="1:2" x14ac:dyDescent="0.25">
      <c r="A14" t="s">
        <v>62</v>
      </c>
      <c r="B14">
        <v>3</v>
      </c>
    </row>
    <row r="15" spans="1:2" x14ac:dyDescent="0.25">
      <c r="A15" t="s">
        <v>24</v>
      </c>
      <c r="B15">
        <v>3</v>
      </c>
    </row>
    <row r="16" spans="1:2" x14ac:dyDescent="0.25">
      <c r="A16" t="s">
        <v>83</v>
      </c>
      <c r="B16">
        <v>2</v>
      </c>
    </row>
    <row r="17" spans="1:2" x14ac:dyDescent="0.25">
      <c r="A17" t="s">
        <v>29</v>
      </c>
      <c r="B17">
        <v>2</v>
      </c>
    </row>
    <row r="18" spans="1:2" x14ac:dyDescent="0.25">
      <c r="A18" t="s">
        <v>43</v>
      </c>
      <c r="B18">
        <v>2</v>
      </c>
    </row>
    <row r="19" spans="1:2" x14ac:dyDescent="0.25">
      <c r="A19" t="s">
        <v>84</v>
      </c>
      <c r="B19">
        <v>2</v>
      </c>
    </row>
    <row r="20" spans="1:2" x14ac:dyDescent="0.25">
      <c r="A20" t="s">
        <v>242</v>
      </c>
      <c r="B20">
        <v>2</v>
      </c>
    </row>
    <row r="21" spans="1:2" x14ac:dyDescent="0.25">
      <c r="A21" t="s">
        <v>368</v>
      </c>
      <c r="B21">
        <v>2</v>
      </c>
    </row>
    <row r="22" spans="1:2" x14ac:dyDescent="0.25">
      <c r="A22" t="s">
        <v>324</v>
      </c>
      <c r="B22">
        <v>2</v>
      </c>
    </row>
    <row r="23" spans="1:2" x14ac:dyDescent="0.25">
      <c r="A23" t="s">
        <v>241</v>
      </c>
      <c r="B23">
        <v>2</v>
      </c>
    </row>
    <row r="24" spans="1:2" x14ac:dyDescent="0.25">
      <c r="A24" t="s">
        <v>60</v>
      </c>
      <c r="B24">
        <v>2</v>
      </c>
    </row>
    <row r="25" spans="1:2" x14ac:dyDescent="0.25">
      <c r="A25" t="s">
        <v>39</v>
      </c>
      <c r="B25">
        <v>2</v>
      </c>
    </row>
    <row r="26" spans="1:2" x14ac:dyDescent="0.25">
      <c r="A26" t="s">
        <v>86</v>
      </c>
      <c r="B26">
        <v>2</v>
      </c>
    </row>
    <row r="27" spans="1:2" x14ac:dyDescent="0.25">
      <c r="A27" t="s">
        <v>282</v>
      </c>
      <c r="B27">
        <v>2</v>
      </c>
    </row>
    <row r="28" spans="1:2" x14ac:dyDescent="0.25">
      <c r="A28" t="s">
        <v>48</v>
      </c>
      <c r="B28">
        <v>2</v>
      </c>
    </row>
    <row r="29" spans="1:2" x14ac:dyDescent="0.25">
      <c r="A29" t="s">
        <v>369</v>
      </c>
      <c r="B29">
        <v>2</v>
      </c>
    </row>
    <row r="30" spans="1:2" x14ac:dyDescent="0.25">
      <c r="A30" t="s">
        <v>327</v>
      </c>
      <c r="B30">
        <v>2</v>
      </c>
    </row>
    <row r="31" spans="1:2" x14ac:dyDescent="0.25">
      <c r="A31" t="s">
        <v>245</v>
      </c>
      <c r="B31">
        <v>2</v>
      </c>
    </row>
    <row r="32" spans="1:2" x14ac:dyDescent="0.25">
      <c r="A32" t="s">
        <v>13</v>
      </c>
      <c r="B32">
        <v>1</v>
      </c>
    </row>
    <row r="33" spans="1:2" x14ac:dyDescent="0.25">
      <c r="A33" t="s">
        <v>66</v>
      </c>
      <c r="B33">
        <v>1</v>
      </c>
    </row>
    <row r="34" spans="1:2" x14ac:dyDescent="0.25">
      <c r="A34" t="s">
        <v>42</v>
      </c>
      <c r="B34">
        <v>1</v>
      </c>
    </row>
    <row r="35" spans="1:2" x14ac:dyDescent="0.25">
      <c r="A35" t="s">
        <v>57</v>
      </c>
      <c r="B35">
        <v>1</v>
      </c>
    </row>
    <row r="36" spans="1:2" x14ac:dyDescent="0.25">
      <c r="A36" t="s">
        <v>290</v>
      </c>
      <c r="B36">
        <v>1</v>
      </c>
    </row>
    <row r="37" spans="1:2" x14ac:dyDescent="0.25">
      <c r="A37" t="s">
        <v>204</v>
      </c>
      <c r="B37">
        <v>1</v>
      </c>
    </row>
    <row r="38" spans="1:2" x14ac:dyDescent="0.25">
      <c r="A38" t="s">
        <v>318</v>
      </c>
      <c r="B38">
        <v>1</v>
      </c>
    </row>
    <row r="39" spans="1:2" x14ac:dyDescent="0.25">
      <c r="A39" t="s">
        <v>51</v>
      </c>
      <c r="B39">
        <v>1</v>
      </c>
    </row>
    <row r="40" spans="1:2" x14ac:dyDescent="0.25">
      <c r="A40" t="s">
        <v>388</v>
      </c>
      <c r="B40">
        <v>1</v>
      </c>
    </row>
    <row r="41" spans="1:2" x14ac:dyDescent="0.25">
      <c r="A41" t="s">
        <v>93</v>
      </c>
      <c r="B41">
        <v>1</v>
      </c>
    </row>
    <row r="42" spans="1:2" x14ac:dyDescent="0.25">
      <c r="A42" t="s">
        <v>56</v>
      </c>
      <c r="B42">
        <v>1</v>
      </c>
    </row>
    <row r="43" spans="1:2" x14ac:dyDescent="0.25">
      <c r="A43" t="s">
        <v>199</v>
      </c>
      <c r="B43">
        <v>1</v>
      </c>
    </row>
    <row r="44" spans="1:2" x14ac:dyDescent="0.25">
      <c r="A44" t="s">
        <v>353</v>
      </c>
      <c r="B44">
        <v>1</v>
      </c>
    </row>
    <row r="45" spans="1:2" x14ac:dyDescent="0.25">
      <c r="A45" t="s">
        <v>46</v>
      </c>
      <c r="B45">
        <v>1</v>
      </c>
    </row>
    <row r="46" spans="1:2" x14ac:dyDescent="0.25">
      <c r="A46" t="s">
        <v>35</v>
      </c>
      <c r="B46">
        <v>1</v>
      </c>
    </row>
    <row r="47" spans="1:2" x14ac:dyDescent="0.25">
      <c r="A47" t="s">
        <v>85</v>
      </c>
      <c r="B47">
        <v>1</v>
      </c>
    </row>
    <row r="48" spans="1:2" x14ac:dyDescent="0.25">
      <c r="A48" t="s">
        <v>97</v>
      </c>
      <c r="B48">
        <v>1</v>
      </c>
    </row>
    <row r="49" spans="1:2" x14ac:dyDescent="0.25">
      <c r="A49" t="s">
        <v>5</v>
      </c>
      <c r="B49">
        <v>1</v>
      </c>
    </row>
    <row r="50" spans="1:2" x14ac:dyDescent="0.25">
      <c r="A50" t="s">
        <v>285</v>
      </c>
      <c r="B50">
        <v>1</v>
      </c>
    </row>
    <row r="51" spans="1:2" x14ac:dyDescent="0.25">
      <c r="A51" t="s">
        <v>222</v>
      </c>
      <c r="B51">
        <v>1</v>
      </c>
    </row>
    <row r="52" spans="1:2" x14ac:dyDescent="0.25">
      <c r="A52" t="s">
        <v>188</v>
      </c>
      <c r="B52">
        <v>1</v>
      </c>
    </row>
    <row r="53" spans="1:2" x14ac:dyDescent="0.25">
      <c r="A53" t="s">
        <v>67</v>
      </c>
      <c r="B53">
        <v>1</v>
      </c>
    </row>
    <row r="54" spans="1:2" x14ac:dyDescent="0.25">
      <c r="A54" t="s">
        <v>98</v>
      </c>
      <c r="B54">
        <v>1</v>
      </c>
    </row>
    <row r="55" spans="1:2" x14ac:dyDescent="0.25">
      <c r="A55" t="s">
        <v>122</v>
      </c>
      <c r="B55">
        <v>1</v>
      </c>
    </row>
    <row r="56" spans="1:2" x14ac:dyDescent="0.25">
      <c r="A56" t="s">
        <v>2</v>
      </c>
      <c r="B56">
        <v>1</v>
      </c>
    </row>
    <row r="57" spans="1:2" x14ac:dyDescent="0.25">
      <c r="A57" t="s">
        <v>68</v>
      </c>
      <c r="B57">
        <v>1</v>
      </c>
    </row>
    <row r="58" spans="1:2" x14ac:dyDescent="0.25">
      <c r="A58" t="s">
        <v>99</v>
      </c>
      <c r="B58">
        <v>1</v>
      </c>
    </row>
    <row r="59" spans="1:2" x14ac:dyDescent="0.25">
      <c r="A59" t="s">
        <v>116</v>
      </c>
      <c r="B59">
        <v>1</v>
      </c>
    </row>
    <row r="60" spans="1:2" x14ac:dyDescent="0.25">
      <c r="A60" t="s">
        <v>123</v>
      </c>
      <c r="B60">
        <v>1</v>
      </c>
    </row>
    <row r="61" spans="1:2" x14ac:dyDescent="0.25">
      <c r="A61" t="s">
        <v>207</v>
      </c>
      <c r="B61">
        <v>1</v>
      </c>
    </row>
    <row r="62" spans="1:2" x14ac:dyDescent="0.25">
      <c r="A62" t="s">
        <v>175</v>
      </c>
      <c r="B62">
        <v>1</v>
      </c>
    </row>
    <row r="63" spans="1:2" x14ac:dyDescent="0.25">
      <c r="A63" t="s">
        <v>291</v>
      </c>
      <c r="B63">
        <v>1</v>
      </c>
    </row>
    <row r="64" spans="1:2" x14ac:dyDescent="0.25">
      <c r="A64" t="s">
        <v>330</v>
      </c>
      <c r="B64">
        <v>1</v>
      </c>
    </row>
    <row r="65" spans="1:2" x14ac:dyDescent="0.25">
      <c r="A65" t="s">
        <v>18</v>
      </c>
      <c r="B65">
        <v>1</v>
      </c>
    </row>
    <row r="66" spans="1:2" x14ac:dyDescent="0.25">
      <c r="A66" t="s">
        <v>69</v>
      </c>
      <c r="B66">
        <v>1</v>
      </c>
    </row>
    <row r="67" spans="1:2" x14ac:dyDescent="0.25">
      <c r="A67" t="s">
        <v>87</v>
      </c>
      <c r="B67">
        <v>1</v>
      </c>
    </row>
    <row r="68" spans="1:2" x14ac:dyDescent="0.25">
      <c r="A68" t="s">
        <v>100</v>
      </c>
      <c r="B68">
        <v>1</v>
      </c>
    </row>
    <row r="69" spans="1:2" x14ac:dyDescent="0.25">
      <c r="A69" t="s">
        <v>105</v>
      </c>
      <c r="B69">
        <v>1</v>
      </c>
    </row>
    <row r="70" spans="1:2" x14ac:dyDescent="0.25">
      <c r="A70" t="s">
        <v>124</v>
      </c>
      <c r="B70">
        <v>1</v>
      </c>
    </row>
    <row r="71" spans="1:2" x14ac:dyDescent="0.25">
      <c r="A71" t="s">
        <v>286</v>
      </c>
      <c r="B71">
        <v>1</v>
      </c>
    </row>
    <row r="72" spans="1:2" x14ac:dyDescent="0.25">
      <c r="A72" t="s">
        <v>148</v>
      </c>
      <c r="B72">
        <v>1</v>
      </c>
    </row>
    <row r="73" spans="1:2" x14ac:dyDescent="0.25">
      <c r="A73" t="s">
        <v>325</v>
      </c>
      <c r="B73">
        <v>1</v>
      </c>
    </row>
    <row r="74" spans="1:2" x14ac:dyDescent="0.25">
      <c r="A74" t="s">
        <v>389</v>
      </c>
      <c r="B74">
        <v>1</v>
      </c>
    </row>
    <row r="75" spans="1:2" x14ac:dyDescent="0.25">
      <c r="A75" t="s">
        <v>47</v>
      </c>
      <c r="B75">
        <v>1</v>
      </c>
    </row>
    <row r="76" spans="1:2" x14ac:dyDescent="0.25">
      <c r="A76" t="s">
        <v>88</v>
      </c>
      <c r="B76">
        <v>1</v>
      </c>
    </row>
    <row r="77" spans="1:2" x14ac:dyDescent="0.25">
      <c r="A77" t="s">
        <v>117</v>
      </c>
      <c r="B77">
        <v>1</v>
      </c>
    </row>
    <row r="78" spans="1:2" x14ac:dyDescent="0.25">
      <c r="A78" t="s">
        <v>125</v>
      </c>
      <c r="B78">
        <v>1</v>
      </c>
    </row>
    <row r="79" spans="1:2" x14ac:dyDescent="0.25">
      <c r="A79" t="s">
        <v>287</v>
      </c>
      <c r="B79">
        <v>1</v>
      </c>
    </row>
    <row r="80" spans="1:2" x14ac:dyDescent="0.25">
      <c r="A80" t="s">
        <v>292</v>
      </c>
      <c r="B80">
        <v>1</v>
      </c>
    </row>
    <row r="81" spans="1:2" x14ac:dyDescent="0.25">
      <c r="A81" t="s">
        <v>326</v>
      </c>
      <c r="B81">
        <v>1</v>
      </c>
    </row>
    <row r="82" spans="1:2" x14ac:dyDescent="0.25">
      <c r="A82" t="s">
        <v>101</v>
      </c>
      <c r="B82">
        <v>1</v>
      </c>
    </row>
    <row r="83" spans="1:2" x14ac:dyDescent="0.25">
      <c r="A83" t="s">
        <v>118</v>
      </c>
      <c r="B83">
        <v>1</v>
      </c>
    </row>
    <row r="84" spans="1:2" x14ac:dyDescent="0.25">
      <c r="A84" t="s">
        <v>126</v>
      </c>
      <c r="B84">
        <v>1</v>
      </c>
    </row>
    <row r="85" spans="1:2" x14ac:dyDescent="0.25">
      <c r="A85" t="s">
        <v>288</v>
      </c>
      <c r="B85">
        <v>1</v>
      </c>
    </row>
    <row r="86" spans="1:2" x14ac:dyDescent="0.25">
      <c r="A86" t="s">
        <v>322</v>
      </c>
      <c r="B86">
        <v>1</v>
      </c>
    </row>
    <row r="87" spans="1:2" x14ac:dyDescent="0.25">
      <c r="A87" t="s">
        <v>36</v>
      </c>
      <c r="B87">
        <v>1</v>
      </c>
    </row>
    <row r="88" spans="1:2" x14ac:dyDescent="0.25">
      <c r="A88" t="s">
        <v>354</v>
      </c>
      <c r="B88">
        <v>1</v>
      </c>
    </row>
    <row r="89" spans="1:2" x14ac:dyDescent="0.25">
      <c r="A89" t="s">
        <v>182</v>
      </c>
      <c r="B89">
        <v>1</v>
      </c>
    </row>
    <row r="90" spans="1:2" x14ac:dyDescent="0.25">
      <c r="A90" t="s">
        <v>102</v>
      </c>
      <c r="B90">
        <v>1</v>
      </c>
    </row>
    <row r="91" spans="1:2" x14ac:dyDescent="0.25">
      <c r="A91" t="s">
        <v>184</v>
      </c>
      <c r="B91">
        <v>1</v>
      </c>
    </row>
    <row r="92" spans="1:2" x14ac:dyDescent="0.25">
      <c r="A92" t="s">
        <v>293</v>
      </c>
      <c r="B92">
        <v>1</v>
      </c>
    </row>
    <row r="93" spans="1:2" x14ac:dyDescent="0.25">
      <c r="A93" t="s">
        <v>91</v>
      </c>
      <c r="B93">
        <v>1</v>
      </c>
    </row>
    <row r="94" spans="1:2" x14ac:dyDescent="0.25">
      <c r="A94" t="s">
        <v>7</v>
      </c>
      <c r="B94">
        <v>1</v>
      </c>
    </row>
    <row r="95" spans="1:2" x14ac:dyDescent="0.25">
      <c r="A95" t="s">
        <v>163</v>
      </c>
      <c r="B95">
        <v>1</v>
      </c>
    </row>
    <row r="96" spans="1:2" x14ac:dyDescent="0.25">
      <c r="A96" t="s">
        <v>37</v>
      </c>
      <c r="B96">
        <v>1</v>
      </c>
    </row>
    <row r="97" spans="1:2" x14ac:dyDescent="0.25">
      <c r="A97" t="s">
        <v>25</v>
      </c>
      <c r="B97">
        <v>1</v>
      </c>
    </row>
    <row r="98" spans="1:2" x14ac:dyDescent="0.25">
      <c r="A98" t="s">
        <v>49</v>
      </c>
      <c r="B98">
        <v>1</v>
      </c>
    </row>
    <row r="99" spans="1:2" x14ac:dyDescent="0.25">
      <c r="A99" t="s">
        <v>70</v>
      </c>
      <c r="B99">
        <v>1</v>
      </c>
    </row>
    <row r="100" spans="1:2" x14ac:dyDescent="0.25">
      <c r="A100" t="s">
        <v>103</v>
      </c>
      <c r="B100">
        <v>1</v>
      </c>
    </row>
    <row r="101" spans="1:2" x14ac:dyDescent="0.25">
      <c r="A101" t="s">
        <v>119</v>
      </c>
      <c r="B101">
        <v>1</v>
      </c>
    </row>
    <row r="102" spans="1:2" x14ac:dyDescent="0.25">
      <c r="A102" t="s">
        <v>128</v>
      </c>
      <c r="B102">
        <v>1</v>
      </c>
    </row>
    <row r="103" spans="1:2" x14ac:dyDescent="0.25">
      <c r="A103" t="s">
        <v>74</v>
      </c>
      <c r="B103">
        <v>1</v>
      </c>
    </row>
    <row r="104" spans="1:2" x14ac:dyDescent="0.25">
      <c r="A104" t="s">
        <v>277</v>
      </c>
      <c r="B104">
        <v>1</v>
      </c>
    </row>
    <row r="105" spans="1:2" x14ac:dyDescent="0.25">
      <c r="A105" t="s">
        <v>20</v>
      </c>
      <c r="B105">
        <v>1</v>
      </c>
    </row>
    <row r="106" spans="1:2" x14ac:dyDescent="0.25">
      <c r="A106" t="s">
        <v>81</v>
      </c>
      <c r="B106">
        <v>1</v>
      </c>
    </row>
    <row r="107" spans="1:2" x14ac:dyDescent="0.25">
      <c r="A107" t="s">
        <v>370</v>
      </c>
      <c r="B107">
        <v>1</v>
      </c>
    </row>
    <row r="108" spans="1:2" x14ac:dyDescent="0.25">
      <c r="A108" t="s">
        <v>381</v>
      </c>
      <c r="B108">
        <v>1</v>
      </c>
    </row>
    <row r="109" spans="1:2" x14ac:dyDescent="0.25">
      <c r="A109" t="s">
        <v>390</v>
      </c>
      <c r="B109">
        <v>1</v>
      </c>
    </row>
  </sheetData>
  <conditionalFormatting sqref="A2:A109">
    <cfRule type="cellIs" dxfId="125" priority="3" operator="equal">
      <formula>"user"</formula>
    </cfRule>
    <cfRule type="cellIs" dxfId="124" priority="4" operator="equal">
      <formula>"access"</formula>
    </cfRule>
  </conditionalFormatting>
  <conditionalFormatting sqref="A1">
    <cfRule type="cellIs" dxfId="123" priority="1" operator="equal">
      <formula>"user"</formula>
    </cfRule>
    <cfRule type="cellIs" dxfId="122" priority="2" operator="equal">
      <formula>"access"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131"/>
  <sheetViews>
    <sheetView workbookViewId="0">
      <selection activeCell="A18" sqref="A18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25</v>
      </c>
    </row>
    <row r="3" spans="1:2" x14ac:dyDescent="0.25">
      <c r="A3" t="s">
        <v>6</v>
      </c>
      <c r="B3">
        <v>7</v>
      </c>
    </row>
    <row r="4" spans="1:2" x14ac:dyDescent="0.25">
      <c r="A4" t="s">
        <v>8</v>
      </c>
      <c r="B4">
        <v>5</v>
      </c>
    </row>
    <row r="5" spans="1:2" x14ac:dyDescent="0.25">
      <c r="A5" t="s">
        <v>344</v>
      </c>
      <c r="B5">
        <v>5</v>
      </c>
    </row>
    <row r="6" spans="1:2" x14ac:dyDescent="0.25">
      <c r="A6" t="s">
        <v>28</v>
      </c>
      <c r="B6">
        <v>5</v>
      </c>
    </row>
    <row r="7" spans="1:2" x14ac:dyDescent="0.25">
      <c r="A7" t="s">
        <v>62</v>
      </c>
      <c r="B7">
        <v>5</v>
      </c>
    </row>
    <row r="8" spans="1:2" x14ac:dyDescent="0.25">
      <c r="A8" t="s">
        <v>121</v>
      </c>
      <c r="B8">
        <v>4</v>
      </c>
    </row>
    <row r="9" spans="1:2" x14ac:dyDescent="0.25">
      <c r="A9" t="s">
        <v>132</v>
      </c>
      <c r="B9">
        <v>4</v>
      </c>
    </row>
    <row r="10" spans="1:2" x14ac:dyDescent="0.25">
      <c r="A10" t="s">
        <v>139</v>
      </c>
      <c r="B10">
        <v>4</v>
      </c>
    </row>
    <row r="11" spans="1:2" x14ac:dyDescent="0.25">
      <c r="A11" t="s">
        <v>74</v>
      </c>
      <c r="B11">
        <v>4</v>
      </c>
    </row>
    <row r="12" spans="1:2" x14ac:dyDescent="0.25">
      <c r="A12" t="s">
        <v>43</v>
      </c>
      <c r="B12">
        <v>4</v>
      </c>
    </row>
    <row r="13" spans="1:2" x14ac:dyDescent="0.25">
      <c r="A13" t="s">
        <v>127</v>
      </c>
      <c r="B13">
        <v>4</v>
      </c>
    </row>
    <row r="14" spans="1:2" x14ac:dyDescent="0.25">
      <c r="A14" t="s">
        <v>96</v>
      </c>
      <c r="B14">
        <v>4</v>
      </c>
    </row>
    <row r="15" spans="1:2" x14ac:dyDescent="0.25">
      <c r="A15" t="s">
        <v>42</v>
      </c>
      <c r="B15">
        <v>3</v>
      </c>
    </row>
    <row r="16" spans="1:2" x14ac:dyDescent="0.25">
      <c r="A16" t="s">
        <v>60</v>
      </c>
      <c r="B16">
        <v>3</v>
      </c>
    </row>
    <row r="17" spans="1:2" x14ac:dyDescent="0.25">
      <c r="A17" t="s">
        <v>4</v>
      </c>
      <c r="B17">
        <v>3</v>
      </c>
    </row>
    <row r="18" spans="1:2" x14ac:dyDescent="0.25">
      <c r="A18" t="s">
        <v>24</v>
      </c>
      <c r="B18">
        <v>3</v>
      </c>
    </row>
    <row r="19" spans="1:2" x14ac:dyDescent="0.25">
      <c r="A19" t="s">
        <v>86</v>
      </c>
      <c r="B19">
        <v>3</v>
      </c>
    </row>
    <row r="20" spans="1:2" x14ac:dyDescent="0.25">
      <c r="A20" t="s">
        <v>52</v>
      </c>
      <c r="B20">
        <v>3</v>
      </c>
    </row>
    <row r="21" spans="1:2" x14ac:dyDescent="0.25">
      <c r="A21" t="s">
        <v>327</v>
      </c>
      <c r="B21">
        <v>3</v>
      </c>
    </row>
    <row r="22" spans="1:2" x14ac:dyDescent="0.25">
      <c r="A22" t="s">
        <v>130</v>
      </c>
      <c r="B22">
        <v>3</v>
      </c>
    </row>
    <row r="23" spans="1:2" x14ac:dyDescent="0.25">
      <c r="A23" t="s">
        <v>83</v>
      </c>
      <c r="B23">
        <v>2</v>
      </c>
    </row>
    <row r="24" spans="1:2" x14ac:dyDescent="0.25">
      <c r="A24" t="s">
        <v>290</v>
      </c>
      <c r="B24">
        <v>2</v>
      </c>
    </row>
    <row r="25" spans="1:2" x14ac:dyDescent="0.25">
      <c r="A25" t="s">
        <v>29</v>
      </c>
      <c r="B25">
        <v>2</v>
      </c>
    </row>
    <row r="26" spans="1:2" x14ac:dyDescent="0.25">
      <c r="A26" t="s">
        <v>51</v>
      </c>
      <c r="B26">
        <v>2</v>
      </c>
    </row>
    <row r="27" spans="1:2" x14ac:dyDescent="0.25">
      <c r="A27" t="s">
        <v>245</v>
      </c>
      <c r="B27">
        <v>2</v>
      </c>
    </row>
    <row r="28" spans="1:2" x14ac:dyDescent="0.25">
      <c r="A28" t="s">
        <v>39</v>
      </c>
      <c r="B28">
        <v>2</v>
      </c>
    </row>
    <row r="29" spans="1:2" x14ac:dyDescent="0.25">
      <c r="A29" t="s">
        <v>2</v>
      </c>
      <c r="B29">
        <v>2</v>
      </c>
    </row>
    <row r="30" spans="1:2" x14ac:dyDescent="0.25">
      <c r="A30" t="s">
        <v>282</v>
      </c>
      <c r="B30">
        <v>2</v>
      </c>
    </row>
    <row r="31" spans="1:2" x14ac:dyDescent="0.25">
      <c r="A31" t="s">
        <v>242</v>
      </c>
      <c r="B31">
        <v>2</v>
      </c>
    </row>
    <row r="32" spans="1:2" x14ac:dyDescent="0.25">
      <c r="A32" t="s">
        <v>93</v>
      </c>
      <c r="B32">
        <v>2</v>
      </c>
    </row>
    <row r="33" spans="1:2" x14ac:dyDescent="0.25">
      <c r="A33" t="s">
        <v>91</v>
      </c>
      <c r="B33">
        <v>2</v>
      </c>
    </row>
    <row r="34" spans="1:2" x14ac:dyDescent="0.25">
      <c r="A34" t="s">
        <v>241</v>
      </c>
      <c r="B34">
        <v>2</v>
      </c>
    </row>
    <row r="35" spans="1:2" x14ac:dyDescent="0.25">
      <c r="A35" t="s">
        <v>163</v>
      </c>
      <c r="B35">
        <v>2</v>
      </c>
    </row>
    <row r="36" spans="1:2" x14ac:dyDescent="0.25">
      <c r="A36" t="s">
        <v>182</v>
      </c>
      <c r="B36">
        <v>2</v>
      </c>
    </row>
    <row r="37" spans="1:2" x14ac:dyDescent="0.25">
      <c r="A37" t="s">
        <v>368</v>
      </c>
      <c r="B37">
        <v>2</v>
      </c>
    </row>
    <row r="38" spans="1:2" x14ac:dyDescent="0.25">
      <c r="A38" t="s">
        <v>37</v>
      </c>
      <c r="B38">
        <v>2</v>
      </c>
    </row>
    <row r="39" spans="1:2" x14ac:dyDescent="0.25">
      <c r="A39" t="s">
        <v>25</v>
      </c>
      <c r="B39">
        <v>2</v>
      </c>
    </row>
    <row r="40" spans="1:2" x14ac:dyDescent="0.25">
      <c r="A40" t="s">
        <v>84</v>
      </c>
      <c r="B40">
        <v>2</v>
      </c>
    </row>
    <row r="41" spans="1:2" x14ac:dyDescent="0.25">
      <c r="A41" t="s">
        <v>88</v>
      </c>
      <c r="B41">
        <v>2</v>
      </c>
    </row>
    <row r="42" spans="1:2" x14ac:dyDescent="0.25">
      <c r="A42" t="s">
        <v>292</v>
      </c>
      <c r="B42">
        <v>2</v>
      </c>
    </row>
    <row r="43" spans="1:2" x14ac:dyDescent="0.25">
      <c r="A43" t="s">
        <v>369</v>
      </c>
      <c r="B43">
        <v>2</v>
      </c>
    </row>
    <row r="44" spans="1:2" x14ac:dyDescent="0.25">
      <c r="A44" t="s">
        <v>79</v>
      </c>
      <c r="B44">
        <v>2</v>
      </c>
    </row>
    <row r="45" spans="1:2" x14ac:dyDescent="0.25">
      <c r="A45" t="s">
        <v>48</v>
      </c>
      <c r="B45">
        <v>2</v>
      </c>
    </row>
    <row r="46" spans="1:2" x14ac:dyDescent="0.25">
      <c r="A46" t="s">
        <v>81</v>
      </c>
      <c r="B46">
        <v>2</v>
      </c>
    </row>
    <row r="47" spans="1:2" x14ac:dyDescent="0.25">
      <c r="A47" t="s">
        <v>46</v>
      </c>
      <c r="B47">
        <v>2</v>
      </c>
    </row>
    <row r="48" spans="1:2" x14ac:dyDescent="0.25">
      <c r="A48" t="s">
        <v>188</v>
      </c>
      <c r="B48">
        <v>2</v>
      </c>
    </row>
    <row r="49" spans="1:2" x14ac:dyDescent="0.25">
      <c r="A49" t="s">
        <v>324</v>
      </c>
      <c r="B49">
        <v>2</v>
      </c>
    </row>
    <row r="50" spans="1:2" x14ac:dyDescent="0.25">
      <c r="A50" t="s">
        <v>13</v>
      </c>
      <c r="B50">
        <v>1</v>
      </c>
    </row>
    <row r="51" spans="1:2" x14ac:dyDescent="0.25">
      <c r="A51" t="s">
        <v>66</v>
      </c>
      <c r="B51">
        <v>1</v>
      </c>
    </row>
    <row r="52" spans="1:2" x14ac:dyDescent="0.25">
      <c r="A52" t="s">
        <v>72</v>
      </c>
      <c r="B52">
        <v>1</v>
      </c>
    </row>
    <row r="53" spans="1:2" x14ac:dyDescent="0.25">
      <c r="A53" t="s">
        <v>78</v>
      </c>
      <c r="B53">
        <v>1</v>
      </c>
    </row>
    <row r="54" spans="1:2" x14ac:dyDescent="0.25">
      <c r="A54" t="s">
        <v>90</v>
      </c>
      <c r="B54">
        <v>1</v>
      </c>
    </row>
    <row r="55" spans="1:2" x14ac:dyDescent="0.25">
      <c r="A55" t="s">
        <v>57</v>
      </c>
      <c r="B55">
        <v>1</v>
      </c>
    </row>
    <row r="56" spans="1:2" x14ac:dyDescent="0.25">
      <c r="A56" t="s">
        <v>301</v>
      </c>
      <c r="B56">
        <v>1</v>
      </c>
    </row>
    <row r="57" spans="1:2" x14ac:dyDescent="0.25">
      <c r="A57" t="s">
        <v>204</v>
      </c>
      <c r="B57">
        <v>1</v>
      </c>
    </row>
    <row r="58" spans="1:2" x14ac:dyDescent="0.25">
      <c r="A58" t="s">
        <v>318</v>
      </c>
      <c r="B58">
        <v>1</v>
      </c>
    </row>
    <row r="59" spans="1:2" x14ac:dyDescent="0.25">
      <c r="A59" t="s">
        <v>357</v>
      </c>
      <c r="B59">
        <v>1</v>
      </c>
    </row>
    <row r="60" spans="1:2" x14ac:dyDescent="0.25">
      <c r="A60" t="s">
        <v>388</v>
      </c>
      <c r="B60">
        <v>1</v>
      </c>
    </row>
    <row r="61" spans="1:2" x14ac:dyDescent="0.25">
      <c r="A61" t="s">
        <v>18</v>
      </c>
      <c r="B61">
        <v>1</v>
      </c>
    </row>
    <row r="62" spans="1:2" x14ac:dyDescent="0.25">
      <c r="A62" t="s">
        <v>69</v>
      </c>
      <c r="B62">
        <v>1</v>
      </c>
    </row>
    <row r="63" spans="1:2" x14ac:dyDescent="0.25">
      <c r="A63" t="s">
        <v>80</v>
      </c>
      <c r="B63">
        <v>1</v>
      </c>
    </row>
    <row r="64" spans="1:2" x14ac:dyDescent="0.25">
      <c r="A64" t="s">
        <v>87</v>
      </c>
      <c r="B64">
        <v>1</v>
      </c>
    </row>
    <row r="65" spans="1:2" x14ac:dyDescent="0.25">
      <c r="A65" t="s">
        <v>100</v>
      </c>
      <c r="B65">
        <v>1</v>
      </c>
    </row>
    <row r="66" spans="1:2" x14ac:dyDescent="0.25">
      <c r="A66" t="s">
        <v>105</v>
      </c>
      <c r="B66">
        <v>1</v>
      </c>
    </row>
    <row r="67" spans="1:2" x14ac:dyDescent="0.25">
      <c r="A67" t="s">
        <v>124</v>
      </c>
      <c r="B67">
        <v>1</v>
      </c>
    </row>
    <row r="68" spans="1:2" x14ac:dyDescent="0.25">
      <c r="A68" t="s">
        <v>286</v>
      </c>
      <c r="B68">
        <v>1</v>
      </c>
    </row>
    <row r="69" spans="1:2" x14ac:dyDescent="0.25">
      <c r="A69" t="s">
        <v>308</v>
      </c>
      <c r="B69">
        <v>1</v>
      </c>
    </row>
    <row r="70" spans="1:2" x14ac:dyDescent="0.25">
      <c r="A70" t="s">
        <v>148</v>
      </c>
      <c r="B70">
        <v>1</v>
      </c>
    </row>
    <row r="71" spans="1:2" x14ac:dyDescent="0.25">
      <c r="A71" t="s">
        <v>325</v>
      </c>
      <c r="B71">
        <v>1</v>
      </c>
    </row>
    <row r="72" spans="1:2" x14ac:dyDescent="0.25">
      <c r="A72" t="s">
        <v>64</v>
      </c>
      <c r="B72">
        <v>1</v>
      </c>
    </row>
    <row r="73" spans="1:2" x14ac:dyDescent="0.25">
      <c r="A73" t="s">
        <v>389</v>
      </c>
      <c r="B73">
        <v>1</v>
      </c>
    </row>
    <row r="74" spans="1:2" x14ac:dyDescent="0.25">
      <c r="A74" t="s">
        <v>67</v>
      </c>
      <c r="B74">
        <v>1</v>
      </c>
    </row>
    <row r="75" spans="1:2" x14ac:dyDescent="0.25">
      <c r="A75" t="s">
        <v>73</v>
      </c>
      <c r="B75">
        <v>1</v>
      </c>
    </row>
    <row r="76" spans="1:2" x14ac:dyDescent="0.25">
      <c r="A76" t="s">
        <v>92</v>
      </c>
      <c r="B76">
        <v>1</v>
      </c>
    </row>
    <row r="77" spans="1:2" x14ac:dyDescent="0.25">
      <c r="A77" t="s">
        <v>98</v>
      </c>
      <c r="B77">
        <v>1</v>
      </c>
    </row>
    <row r="78" spans="1:2" x14ac:dyDescent="0.25">
      <c r="A78" t="s">
        <v>122</v>
      </c>
      <c r="B78">
        <v>1</v>
      </c>
    </row>
    <row r="79" spans="1:2" x14ac:dyDescent="0.25">
      <c r="A79" t="s">
        <v>372</v>
      </c>
      <c r="B79">
        <v>1</v>
      </c>
    </row>
    <row r="80" spans="1:2" x14ac:dyDescent="0.25">
      <c r="A80" t="s">
        <v>75</v>
      </c>
      <c r="B80">
        <v>1</v>
      </c>
    </row>
    <row r="81" spans="1:2" x14ac:dyDescent="0.25">
      <c r="A81" t="s">
        <v>102</v>
      </c>
      <c r="B81">
        <v>1</v>
      </c>
    </row>
    <row r="82" spans="1:2" x14ac:dyDescent="0.25">
      <c r="A82" t="s">
        <v>184</v>
      </c>
      <c r="B82">
        <v>1</v>
      </c>
    </row>
    <row r="83" spans="1:2" x14ac:dyDescent="0.25">
      <c r="A83" t="s">
        <v>293</v>
      </c>
      <c r="B83">
        <v>1</v>
      </c>
    </row>
    <row r="84" spans="1:2" x14ac:dyDescent="0.25">
      <c r="A84" t="s">
        <v>309</v>
      </c>
      <c r="B84">
        <v>1</v>
      </c>
    </row>
    <row r="85" spans="1:2" x14ac:dyDescent="0.25">
      <c r="A85" t="s">
        <v>7</v>
      </c>
      <c r="B85">
        <v>1</v>
      </c>
    </row>
    <row r="86" spans="1:2" x14ac:dyDescent="0.25">
      <c r="A86" t="s">
        <v>374</v>
      </c>
      <c r="B86">
        <v>1</v>
      </c>
    </row>
    <row r="87" spans="1:2" x14ac:dyDescent="0.25">
      <c r="A87" t="s">
        <v>56</v>
      </c>
      <c r="B87">
        <v>1</v>
      </c>
    </row>
    <row r="88" spans="1:2" x14ac:dyDescent="0.25">
      <c r="A88" t="s">
        <v>199</v>
      </c>
      <c r="B88">
        <v>1</v>
      </c>
    </row>
    <row r="89" spans="1:2" x14ac:dyDescent="0.25">
      <c r="A89" t="s">
        <v>353</v>
      </c>
      <c r="B89">
        <v>1</v>
      </c>
    </row>
    <row r="90" spans="1:2" x14ac:dyDescent="0.25">
      <c r="A90" t="s">
        <v>47</v>
      </c>
      <c r="B90">
        <v>1</v>
      </c>
    </row>
    <row r="91" spans="1:2" x14ac:dyDescent="0.25">
      <c r="A91" t="s">
        <v>117</v>
      </c>
      <c r="B91">
        <v>1</v>
      </c>
    </row>
    <row r="92" spans="1:2" x14ac:dyDescent="0.25">
      <c r="A92" t="s">
        <v>125</v>
      </c>
      <c r="B92">
        <v>1</v>
      </c>
    </row>
    <row r="93" spans="1:2" x14ac:dyDescent="0.25">
      <c r="A93" t="s">
        <v>287</v>
      </c>
      <c r="B93">
        <v>1</v>
      </c>
    </row>
    <row r="94" spans="1:2" x14ac:dyDescent="0.25">
      <c r="A94" t="s">
        <v>326</v>
      </c>
      <c r="B94">
        <v>1</v>
      </c>
    </row>
    <row r="95" spans="1:2" x14ac:dyDescent="0.25">
      <c r="A95" t="s">
        <v>373</v>
      </c>
      <c r="B95">
        <v>1</v>
      </c>
    </row>
    <row r="96" spans="1:2" x14ac:dyDescent="0.25">
      <c r="A96" t="s">
        <v>68</v>
      </c>
      <c r="B96">
        <v>1</v>
      </c>
    </row>
    <row r="97" spans="1:2" x14ac:dyDescent="0.25">
      <c r="A97" t="s">
        <v>99</v>
      </c>
      <c r="B97">
        <v>1</v>
      </c>
    </row>
    <row r="98" spans="1:2" x14ac:dyDescent="0.25">
      <c r="A98" t="s">
        <v>116</v>
      </c>
      <c r="B98">
        <v>1</v>
      </c>
    </row>
    <row r="99" spans="1:2" x14ac:dyDescent="0.25">
      <c r="A99" t="s">
        <v>123</v>
      </c>
      <c r="B99">
        <v>1</v>
      </c>
    </row>
    <row r="100" spans="1:2" x14ac:dyDescent="0.25">
      <c r="A100" t="s">
        <v>207</v>
      </c>
      <c r="B100">
        <v>1</v>
      </c>
    </row>
    <row r="101" spans="1:2" x14ac:dyDescent="0.25">
      <c r="A101" t="s">
        <v>175</v>
      </c>
      <c r="B101">
        <v>1</v>
      </c>
    </row>
    <row r="102" spans="1:2" x14ac:dyDescent="0.25">
      <c r="A102" t="s">
        <v>291</v>
      </c>
      <c r="B102">
        <v>1</v>
      </c>
    </row>
    <row r="103" spans="1:2" x14ac:dyDescent="0.25">
      <c r="A103" t="s">
        <v>330</v>
      </c>
      <c r="B103">
        <v>1</v>
      </c>
    </row>
    <row r="104" spans="1:2" x14ac:dyDescent="0.25">
      <c r="A104" t="s">
        <v>55</v>
      </c>
      <c r="B104">
        <v>1</v>
      </c>
    </row>
    <row r="105" spans="1:2" x14ac:dyDescent="0.25">
      <c r="A105" t="s">
        <v>49</v>
      </c>
      <c r="B105">
        <v>1</v>
      </c>
    </row>
    <row r="106" spans="1:2" x14ac:dyDescent="0.25">
      <c r="A106" t="s">
        <v>70</v>
      </c>
      <c r="B106">
        <v>1</v>
      </c>
    </row>
    <row r="107" spans="1:2" x14ac:dyDescent="0.25">
      <c r="A107" t="s">
        <v>76</v>
      </c>
      <c r="B107">
        <v>1</v>
      </c>
    </row>
    <row r="108" spans="1:2" x14ac:dyDescent="0.25">
      <c r="A108" t="s">
        <v>94</v>
      </c>
      <c r="B108">
        <v>1</v>
      </c>
    </row>
    <row r="109" spans="1:2" x14ac:dyDescent="0.25">
      <c r="A109" t="s">
        <v>103</v>
      </c>
      <c r="B109">
        <v>1</v>
      </c>
    </row>
    <row r="110" spans="1:2" x14ac:dyDescent="0.25">
      <c r="A110" t="s">
        <v>119</v>
      </c>
      <c r="B110">
        <v>1</v>
      </c>
    </row>
    <row r="111" spans="1:2" x14ac:dyDescent="0.25">
      <c r="A111" t="s">
        <v>128</v>
      </c>
      <c r="B111">
        <v>1</v>
      </c>
    </row>
    <row r="112" spans="1:2" x14ac:dyDescent="0.25">
      <c r="A112" t="s">
        <v>277</v>
      </c>
      <c r="B112">
        <v>1</v>
      </c>
    </row>
    <row r="113" spans="1:2" x14ac:dyDescent="0.25">
      <c r="A113" t="s">
        <v>20</v>
      </c>
      <c r="B113">
        <v>1</v>
      </c>
    </row>
    <row r="114" spans="1:2" x14ac:dyDescent="0.25">
      <c r="A114" t="s">
        <v>370</v>
      </c>
      <c r="B114">
        <v>1</v>
      </c>
    </row>
    <row r="115" spans="1:2" x14ac:dyDescent="0.25">
      <c r="A115" t="s">
        <v>381</v>
      </c>
      <c r="B115">
        <v>1</v>
      </c>
    </row>
    <row r="116" spans="1:2" x14ac:dyDescent="0.25">
      <c r="A116" t="s">
        <v>390</v>
      </c>
      <c r="B116">
        <v>1</v>
      </c>
    </row>
    <row r="117" spans="1:2" x14ac:dyDescent="0.25">
      <c r="A117" t="s">
        <v>35</v>
      </c>
      <c r="B117">
        <v>1</v>
      </c>
    </row>
    <row r="118" spans="1:2" x14ac:dyDescent="0.25">
      <c r="A118" t="s">
        <v>85</v>
      </c>
      <c r="B118">
        <v>1</v>
      </c>
    </row>
    <row r="119" spans="1:2" x14ac:dyDescent="0.25">
      <c r="A119" t="s">
        <v>97</v>
      </c>
      <c r="B119">
        <v>1</v>
      </c>
    </row>
    <row r="120" spans="1:2" x14ac:dyDescent="0.25">
      <c r="A120" t="s">
        <v>5</v>
      </c>
      <c r="B120">
        <v>1</v>
      </c>
    </row>
    <row r="121" spans="1:2" x14ac:dyDescent="0.25">
      <c r="A121" t="s">
        <v>285</v>
      </c>
      <c r="B121">
        <v>1</v>
      </c>
    </row>
    <row r="122" spans="1:2" x14ac:dyDescent="0.25">
      <c r="A122" t="s">
        <v>222</v>
      </c>
      <c r="B122">
        <v>1</v>
      </c>
    </row>
    <row r="123" spans="1:2" x14ac:dyDescent="0.25">
      <c r="A123" t="s">
        <v>17</v>
      </c>
      <c r="B123">
        <v>1</v>
      </c>
    </row>
    <row r="124" spans="1:2" x14ac:dyDescent="0.25">
      <c r="A124" t="s">
        <v>101</v>
      </c>
      <c r="B124">
        <v>1</v>
      </c>
    </row>
    <row r="125" spans="1:2" x14ac:dyDescent="0.25">
      <c r="A125" t="s">
        <v>118</v>
      </c>
      <c r="B125">
        <v>1</v>
      </c>
    </row>
    <row r="126" spans="1:2" x14ac:dyDescent="0.25">
      <c r="A126" t="s">
        <v>126</v>
      </c>
      <c r="B126">
        <v>1</v>
      </c>
    </row>
    <row r="127" spans="1:2" x14ac:dyDescent="0.25">
      <c r="A127" t="s">
        <v>288</v>
      </c>
      <c r="B127">
        <v>1</v>
      </c>
    </row>
    <row r="128" spans="1:2" x14ac:dyDescent="0.25">
      <c r="A128" t="s">
        <v>322</v>
      </c>
      <c r="B128">
        <v>1</v>
      </c>
    </row>
    <row r="129" spans="1:2" x14ac:dyDescent="0.25">
      <c r="A129" t="s">
        <v>36</v>
      </c>
      <c r="B129">
        <v>1</v>
      </c>
    </row>
    <row r="130" spans="1:2" x14ac:dyDescent="0.25">
      <c r="A130" t="s">
        <v>354</v>
      </c>
      <c r="B130">
        <v>1</v>
      </c>
    </row>
    <row r="131" spans="1:2" x14ac:dyDescent="0.25">
      <c r="A131" t="s">
        <v>358</v>
      </c>
      <c r="B131">
        <v>1</v>
      </c>
    </row>
  </sheetData>
  <conditionalFormatting sqref="A2:A131">
    <cfRule type="cellIs" dxfId="121" priority="2" operator="equal">
      <formula>"access"</formula>
    </cfRule>
  </conditionalFormatting>
  <conditionalFormatting sqref="A1">
    <cfRule type="cellIs" dxfId="120" priority="1" operator="equal">
      <formula>"access"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84"/>
  <sheetViews>
    <sheetView workbookViewId="0">
      <selection activeCell="A185" sqref="A185:B401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41</v>
      </c>
    </row>
    <row r="3" spans="1:2" x14ac:dyDescent="0.25">
      <c r="A3" t="s">
        <v>27</v>
      </c>
      <c r="B3">
        <v>16</v>
      </c>
    </row>
    <row r="4" spans="1:2" x14ac:dyDescent="0.25">
      <c r="A4" t="s">
        <v>6</v>
      </c>
      <c r="B4">
        <v>11</v>
      </c>
    </row>
    <row r="5" spans="1:2" x14ac:dyDescent="0.25">
      <c r="A5" t="s">
        <v>121</v>
      </c>
      <c r="B5">
        <v>9</v>
      </c>
    </row>
    <row r="6" spans="1:2" x14ac:dyDescent="0.25">
      <c r="A6" t="s">
        <v>139</v>
      </c>
      <c r="B6">
        <v>8</v>
      </c>
    </row>
    <row r="7" spans="1:2" x14ac:dyDescent="0.25">
      <c r="A7" t="s">
        <v>8</v>
      </c>
      <c r="B7">
        <v>8</v>
      </c>
    </row>
    <row r="8" spans="1:2" x14ac:dyDescent="0.25">
      <c r="A8" t="s">
        <v>132</v>
      </c>
      <c r="B8">
        <v>7</v>
      </c>
    </row>
    <row r="9" spans="1:2" x14ac:dyDescent="0.25">
      <c r="A9" t="s">
        <v>62</v>
      </c>
      <c r="B9">
        <v>7</v>
      </c>
    </row>
    <row r="10" spans="1:2" x14ac:dyDescent="0.25">
      <c r="A10" t="s">
        <v>28</v>
      </c>
      <c r="B10">
        <v>7</v>
      </c>
    </row>
    <row r="11" spans="1:2" x14ac:dyDescent="0.25">
      <c r="A11" t="s">
        <v>37</v>
      </c>
      <c r="B11">
        <v>6</v>
      </c>
    </row>
    <row r="12" spans="1:2" x14ac:dyDescent="0.25">
      <c r="A12" t="s">
        <v>24</v>
      </c>
      <c r="B12">
        <v>6</v>
      </c>
    </row>
    <row r="13" spans="1:2" x14ac:dyDescent="0.25">
      <c r="A13" t="s">
        <v>344</v>
      </c>
      <c r="B13">
        <v>6</v>
      </c>
    </row>
    <row r="14" spans="1:2" x14ac:dyDescent="0.25">
      <c r="A14" t="s">
        <v>42</v>
      </c>
      <c r="B14">
        <v>5</v>
      </c>
    </row>
    <row r="15" spans="1:2" x14ac:dyDescent="0.25">
      <c r="A15" t="s">
        <v>96</v>
      </c>
      <c r="B15">
        <v>5</v>
      </c>
    </row>
    <row r="16" spans="1:2" x14ac:dyDescent="0.25">
      <c r="A16" t="s">
        <v>130</v>
      </c>
      <c r="B16">
        <v>5</v>
      </c>
    </row>
    <row r="17" spans="1:2" x14ac:dyDescent="0.25">
      <c r="A17" t="s">
        <v>327</v>
      </c>
      <c r="B17">
        <v>5</v>
      </c>
    </row>
    <row r="18" spans="1:2" x14ac:dyDescent="0.25">
      <c r="A18" t="s">
        <v>29</v>
      </c>
      <c r="B18">
        <v>4</v>
      </c>
    </row>
    <row r="19" spans="1:2" x14ac:dyDescent="0.25">
      <c r="A19" t="s">
        <v>43</v>
      </c>
      <c r="B19">
        <v>4</v>
      </c>
    </row>
    <row r="20" spans="1:2" x14ac:dyDescent="0.25">
      <c r="A20" t="s">
        <v>127</v>
      </c>
      <c r="B20">
        <v>4</v>
      </c>
    </row>
    <row r="21" spans="1:2" x14ac:dyDescent="0.25">
      <c r="A21" t="s">
        <v>105</v>
      </c>
      <c r="B21">
        <v>4</v>
      </c>
    </row>
    <row r="22" spans="1:2" x14ac:dyDescent="0.25">
      <c r="A22" t="s">
        <v>52</v>
      </c>
      <c r="B22">
        <v>4</v>
      </c>
    </row>
    <row r="23" spans="1:2" x14ac:dyDescent="0.25">
      <c r="A23" t="s">
        <v>39</v>
      </c>
      <c r="B23">
        <v>4</v>
      </c>
    </row>
    <row r="24" spans="1:2" x14ac:dyDescent="0.25">
      <c r="A24" t="s">
        <v>4</v>
      </c>
      <c r="B24">
        <v>4</v>
      </c>
    </row>
    <row r="25" spans="1:2" x14ac:dyDescent="0.25">
      <c r="A25" t="s">
        <v>74</v>
      </c>
      <c r="B25">
        <v>4</v>
      </c>
    </row>
    <row r="26" spans="1:2" x14ac:dyDescent="0.25">
      <c r="A26" t="s">
        <v>183</v>
      </c>
      <c r="B26">
        <v>3</v>
      </c>
    </row>
    <row r="27" spans="1:2" x14ac:dyDescent="0.25">
      <c r="A27" t="s">
        <v>242</v>
      </c>
      <c r="B27">
        <v>3</v>
      </c>
    </row>
    <row r="28" spans="1:2" x14ac:dyDescent="0.25">
      <c r="A28" t="s">
        <v>25</v>
      </c>
      <c r="B28">
        <v>3</v>
      </c>
    </row>
    <row r="29" spans="1:2" x14ac:dyDescent="0.25">
      <c r="A29" t="s">
        <v>182</v>
      </c>
      <c r="B29">
        <v>3</v>
      </c>
    </row>
    <row r="30" spans="1:2" x14ac:dyDescent="0.25">
      <c r="A30" t="s">
        <v>282</v>
      </c>
      <c r="B30">
        <v>3</v>
      </c>
    </row>
    <row r="31" spans="1:2" x14ac:dyDescent="0.25">
      <c r="A31" t="s">
        <v>60</v>
      </c>
      <c r="B31">
        <v>3</v>
      </c>
    </row>
    <row r="32" spans="1:2" x14ac:dyDescent="0.25">
      <c r="A32" t="s">
        <v>73</v>
      </c>
      <c r="B32">
        <v>3</v>
      </c>
    </row>
    <row r="33" spans="1:2" x14ac:dyDescent="0.25">
      <c r="A33" t="s">
        <v>86</v>
      </c>
      <c r="B33">
        <v>3</v>
      </c>
    </row>
    <row r="34" spans="1:2" x14ac:dyDescent="0.25">
      <c r="A34" t="s">
        <v>79</v>
      </c>
      <c r="B34">
        <v>3</v>
      </c>
    </row>
    <row r="35" spans="1:2" x14ac:dyDescent="0.25">
      <c r="A35" t="s">
        <v>207</v>
      </c>
      <c r="B35">
        <v>3</v>
      </c>
    </row>
    <row r="36" spans="1:2" x14ac:dyDescent="0.25">
      <c r="A36" t="s">
        <v>292</v>
      </c>
      <c r="B36">
        <v>3</v>
      </c>
    </row>
    <row r="37" spans="1:2" x14ac:dyDescent="0.25">
      <c r="A37" t="s">
        <v>23</v>
      </c>
      <c r="B37">
        <v>2</v>
      </c>
    </row>
    <row r="38" spans="1:2" x14ac:dyDescent="0.25">
      <c r="A38" t="s">
        <v>83</v>
      </c>
      <c r="B38">
        <v>2</v>
      </c>
    </row>
    <row r="39" spans="1:2" x14ac:dyDescent="0.25">
      <c r="A39" t="s">
        <v>290</v>
      </c>
      <c r="B39">
        <v>2</v>
      </c>
    </row>
    <row r="40" spans="1:2" x14ac:dyDescent="0.25">
      <c r="A40" t="s">
        <v>301</v>
      </c>
      <c r="B40">
        <v>2</v>
      </c>
    </row>
    <row r="41" spans="1:2" x14ac:dyDescent="0.25">
      <c r="A41" t="s">
        <v>318</v>
      </c>
      <c r="B41">
        <v>2</v>
      </c>
    </row>
    <row r="42" spans="1:2" x14ac:dyDescent="0.25">
      <c r="A42" t="s">
        <v>51</v>
      </c>
      <c r="B42">
        <v>2</v>
      </c>
    </row>
    <row r="43" spans="1:2" x14ac:dyDescent="0.25">
      <c r="A43" t="s">
        <v>35</v>
      </c>
      <c r="B43">
        <v>2</v>
      </c>
    </row>
    <row r="44" spans="1:2" x14ac:dyDescent="0.25">
      <c r="A44" t="s">
        <v>84</v>
      </c>
      <c r="B44">
        <v>2</v>
      </c>
    </row>
    <row r="45" spans="1:2" x14ac:dyDescent="0.25">
      <c r="A45" t="s">
        <v>2</v>
      </c>
      <c r="B45">
        <v>2</v>
      </c>
    </row>
    <row r="46" spans="1:2" x14ac:dyDescent="0.25">
      <c r="A46" t="s">
        <v>54</v>
      </c>
      <c r="B46">
        <v>2</v>
      </c>
    </row>
    <row r="47" spans="1:2" x14ac:dyDescent="0.25">
      <c r="A47" t="s">
        <v>93</v>
      </c>
      <c r="B47">
        <v>2</v>
      </c>
    </row>
    <row r="48" spans="1:2" x14ac:dyDescent="0.25">
      <c r="A48" t="s">
        <v>56</v>
      </c>
      <c r="B48">
        <v>2</v>
      </c>
    </row>
    <row r="49" spans="1:2" x14ac:dyDescent="0.25">
      <c r="A49" t="s">
        <v>88</v>
      </c>
      <c r="B49">
        <v>2</v>
      </c>
    </row>
    <row r="50" spans="1:2" x14ac:dyDescent="0.25">
      <c r="A50" t="s">
        <v>368</v>
      </c>
      <c r="B50">
        <v>2</v>
      </c>
    </row>
    <row r="51" spans="1:2" x14ac:dyDescent="0.25">
      <c r="A51" t="s">
        <v>36</v>
      </c>
      <c r="B51">
        <v>2</v>
      </c>
    </row>
    <row r="52" spans="1:2" x14ac:dyDescent="0.25">
      <c r="A52" t="s">
        <v>46</v>
      </c>
      <c r="B52">
        <v>2</v>
      </c>
    </row>
    <row r="53" spans="1:2" x14ac:dyDescent="0.25">
      <c r="A53" t="s">
        <v>91</v>
      </c>
      <c r="B53">
        <v>2</v>
      </c>
    </row>
    <row r="54" spans="1:2" x14ac:dyDescent="0.25">
      <c r="A54" t="s">
        <v>222</v>
      </c>
      <c r="B54">
        <v>2</v>
      </c>
    </row>
    <row r="55" spans="1:2" x14ac:dyDescent="0.25">
      <c r="A55" t="s">
        <v>324</v>
      </c>
      <c r="B55">
        <v>2</v>
      </c>
    </row>
    <row r="56" spans="1:2" x14ac:dyDescent="0.25">
      <c r="A56" t="s">
        <v>241</v>
      </c>
      <c r="B56">
        <v>2</v>
      </c>
    </row>
    <row r="57" spans="1:2" x14ac:dyDescent="0.25">
      <c r="A57" t="s">
        <v>236</v>
      </c>
      <c r="B57">
        <v>2</v>
      </c>
    </row>
    <row r="58" spans="1:2" x14ac:dyDescent="0.25">
      <c r="A58" t="s">
        <v>188</v>
      </c>
      <c r="B58">
        <v>2</v>
      </c>
    </row>
    <row r="59" spans="1:2" x14ac:dyDescent="0.25">
      <c r="A59" t="s">
        <v>117</v>
      </c>
      <c r="B59">
        <v>2</v>
      </c>
    </row>
    <row r="60" spans="1:2" x14ac:dyDescent="0.25">
      <c r="A60" t="s">
        <v>184</v>
      </c>
      <c r="B60">
        <v>2</v>
      </c>
    </row>
    <row r="61" spans="1:2" x14ac:dyDescent="0.25">
      <c r="A61" t="s">
        <v>148</v>
      </c>
      <c r="B61">
        <v>2</v>
      </c>
    </row>
    <row r="62" spans="1:2" x14ac:dyDescent="0.25">
      <c r="A62" t="s">
        <v>48</v>
      </c>
      <c r="B62">
        <v>2</v>
      </c>
    </row>
    <row r="63" spans="1:2" x14ac:dyDescent="0.25">
      <c r="A63" t="s">
        <v>330</v>
      </c>
      <c r="B63">
        <v>2</v>
      </c>
    </row>
    <row r="64" spans="1:2" x14ac:dyDescent="0.25">
      <c r="A64" t="s">
        <v>64</v>
      </c>
      <c r="B64">
        <v>2</v>
      </c>
    </row>
    <row r="65" spans="1:2" x14ac:dyDescent="0.25">
      <c r="A65" t="s">
        <v>163</v>
      </c>
      <c r="B65">
        <v>2</v>
      </c>
    </row>
    <row r="66" spans="1:2" x14ac:dyDescent="0.25">
      <c r="A66" t="s">
        <v>369</v>
      </c>
      <c r="B66">
        <v>2</v>
      </c>
    </row>
    <row r="67" spans="1:2" x14ac:dyDescent="0.25">
      <c r="A67" t="s">
        <v>55</v>
      </c>
      <c r="B67">
        <v>2</v>
      </c>
    </row>
    <row r="68" spans="1:2" x14ac:dyDescent="0.25">
      <c r="A68" t="s">
        <v>245</v>
      </c>
      <c r="B68">
        <v>2</v>
      </c>
    </row>
    <row r="69" spans="1:2" x14ac:dyDescent="0.25">
      <c r="A69" t="s">
        <v>20</v>
      </c>
      <c r="B69">
        <v>2</v>
      </c>
    </row>
    <row r="70" spans="1:2" x14ac:dyDescent="0.25">
      <c r="A70" t="s">
        <v>49</v>
      </c>
      <c r="B70">
        <v>2</v>
      </c>
    </row>
    <row r="71" spans="1:2" x14ac:dyDescent="0.25">
      <c r="A71" t="s">
        <v>81</v>
      </c>
      <c r="B71">
        <v>2</v>
      </c>
    </row>
    <row r="72" spans="1:2" x14ac:dyDescent="0.25">
      <c r="A72" t="s">
        <v>34</v>
      </c>
      <c r="B72">
        <v>1</v>
      </c>
    </row>
    <row r="73" spans="1:2" x14ac:dyDescent="0.25">
      <c r="A73" t="s">
        <v>13</v>
      </c>
      <c r="B73">
        <v>1</v>
      </c>
    </row>
    <row r="74" spans="1:2" x14ac:dyDescent="0.25">
      <c r="A74" t="s">
        <v>66</v>
      </c>
      <c r="B74">
        <v>1</v>
      </c>
    </row>
    <row r="75" spans="1:2" x14ac:dyDescent="0.25">
      <c r="A75" t="s">
        <v>72</v>
      </c>
      <c r="B75">
        <v>1</v>
      </c>
    </row>
    <row r="76" spans="1:2" x14ac:dyDescent="0.25">
      <c r="A76" t="s">
        <v>78</v>
      </c>
      <c r="B76">
        <v>1</v>
      </c>
    </row>
    <row r="77" spans="1:2" x14ac:dyDescent="0.25">
      <c r="A77" t="s">
        <v>90</v>
      </c>
      <c r="B77">
        <v>1</v>
      </c>
    </row>
    <row r="78" spans="1:2" x14ac:dyDescent="0.25">
      <c r="A78" t="s">
        <v>138</v>
      </c>
      <c r="B78">
        <v>1</v>
      </c>
    </row>
    <row r="79" spans="1:2" x14ac:dyDescent="0.25">
      <c r="A79" t="s">
        <v>1</v>
      </c>
      <c r="B79">
        <v>1</v>
      </c>
    </row>
    <row r="80" spans="1:2" x14ac:dyDescent="0.25">
      <c r="A80" t="s">
        <v>57</v>
      </c>
      <c r="B80">
        <v>1</v>
      </c>
    </row>
    <row r="81" spans="1:2" x14ac:dyDescent="0.25">
      <c r="A81" t="s">
        <v>204</v>
      </c>
      <c r="B81">
        <v>1</v>
      </c>
    </row>
    <row r="82" spans="1:2" x14ac:dyDescent="0.25">
      <c r="A82" t="s">
        <v>357</v>
      </c>
      <c r="B82">
        <v>1</v>
      </c>
    </row>
    <row r="83" spans="1:2" x14ac:dyDescent="0.25">
      <c r="A83" t="s">
        <v>364</v>
      </c>
      <c r="B83">
        <v>1</v>
      </c>
    </row>
    <row r="84" spans="1:2" x14ac:dyDescent="0.25">
      <c r="A84" t="s">
        <v>388</v>
      </c>
      <c r="B84">
        <v>1</v>
      </c>
    </row>
    <row r="85" spans="1:2" x14ac:dyDescent="0.25">
      <c r="A85" t="s">
        <v>219</v>
      </c>
      <c r="B85">
        <v>1</v>
      </c>
    </row>
    <row r="86" spans="1:2" x14ac:dyDescent="0.25">
      <c r="A86" t="s">
        <v>270</v>
      </c>
      <c r="B86">
        <v>1</v>
      </c>
    </row>
    <row r="87" spans="1:2" x14ac:dyDescent="0.25">
      <c r="A87" t="s">
        <v>319</v>
      </c>
      <c r="B87">
        <v>1</v>
      </c>
    </row>
    <row r="88" spans="1:2" x14ac:dyDescent="0.25">
      <c r="A88" t="s">
        <v>199</v>
      </c>
      <c r="B88">
        <v>1</v>
      </c>
    </row>
    <row r="89" spans="1:2" x14ac:dyDescent="0.25">
      <c r="A89" t="s">
        <v>329</v>
      </c>
      <c r="B89">
        <v>1</v>
      </c>
    </row>
    <row r="90" spans="1:2" x14ac:dyDescent="0.25">
      <c r="A90" t="s">
        <v>353</v>
      </c>
      <c r="B90">
        <v>1</v>
      </c>
    </row>
    <row r="91" spans="1:2" x14ac:dyDescent="0.25">
      <c r="A91" t="s">
        <v>85</v>
      </c>
      <c r="B91">
        <v>1</v>
      </c>
    </row>
    <row r="92" spans="1:2" x14ac:dyDescent="0.25">
      <c r="A92" t="s">
        <v>97</v>
      </c>
      <c r="B92">
        <v>1</v>
      </c>
    </row>
    <row r="93" spans="1:2" x14ac:dyDescent="0.25">
      <c r="A93" t="s">
        <v>5</v>
      </c>
      <c r="B93">
        <v>1</v>
      </c>
    </row>
    <row r="94" spans="1:2" x14ac:dyDescent="0.25">
      <c r="A94" t="s">
        <v>131</v>
      </c>
      <c r="B94">
        <v>1</v>
      </c>
    </row>
    <row r="95" spans="1:2" x14ac:dyDescent="0.25">
      <c r="A95" t="s">
        <v>140</v>
      </c>
      <c r="B95">
        <v>1</v>
      </c>
    </row>
    <row r="96" spans="1:2" x14ac:dyDescent="0.25">
      <c r="A96" t="s">
        <v>206</v>
      </c>
      <c r="B96">
        <v>1</v>
      </c>
    </row>
    <row r="97" spans="1:2" x14ac:dyDescent="0.25">
      <c r="A97" t="s">
        <v>249</v>
      </c>
      <c r="B97">
        <v>1</v>
      </c>
    </row>
    <row r="98" spans="1:2" x14ac:dyDescent="0.25">
      <c r="A98" t="s">
        <v>285</v>
      </c>
      <c r="B98">
        <v>1</v>
      </c>
    </row>
    <row r="99" spans="1:2" x14ac:dyDescent="0.25">
      <c r="A99" t="s">
        <v>3</v>
      </c>
      <c r="B99">
        <v>1</v>
      </c>
    </row>
    <row r="100" spans="1:2" x14ac:dyDescent="0.25">
      <c r="A100" t="s">
        <v>17</v>
      </c>
      <c r="B100">
        <v>1</v>
      </c>
    </row>
    <row r="101" spans="1:2" x14ac:dyDescent="0.25">
      <c r="A101" t="s">
        <v>67</v>
      </c>
      <c r="B101">
        <v>1</v>
      </c>
    </row>
    <row r="102" spans="1:2" x14ac:dyDescent="0.25">
      <c r="A102" t="s">
        <v>92</v>
      </c>
      <c r="B102">
        <v>1</v>
      </c>
    </row>
    <row r="103" spans="1:2" x14ac:dyDescent="0.25">
      <c r="A103" t="s">
        <v>98</v>
      </c>
      <c r="B103">
        <v>1</v>
      </c>
    </row>
    <row r="104" spans="1:2" x14ac:dyDescent="0.25">
      <c r="A104" t="s">
        <v>106</v>
      </c>
      <c r="B104">
        <v>1</v>
      </c>
    </row>
    <row r="105" spans="1:2" x14ac:dyDescent="0.25">
      <c r="A105" t="s">
        <v>122</v>
      </c>
      <c r="B105">
        <v>1</v>
      </c>
    </row>
    <row r="106" spans="1:2" x14ac:dyDescent="0.25">
      <c r="A106" t="s">
        <v>220</v>
      </c>
      <c r="B106">
        <v>1</v>
      </c>
    </row>
    <row r="107" spans="1:2" x14ac:dyDescent="0.25">
      <c r="A107" t="s">
        <v>302</v>
      </c>
      <c r="B107">
        <v>1</v>
      </c>
    </row>
    <row r="108" spans="1:2" x14ac:dyDescent="0.25">
      <c r="A108" t="s">
        <v>320</v>
      </c>
      <c r="B108">
        <v>1</v>
      </c>
    </row>
    <row r="109" spans="1:2" x14ac:dyDescent="0.25">
      <c r="A109" t="s">
        <v>372</v>
      </c>
      <c r="B109">
        <v>1</v>
      </c>
    </row>
    <row r="110" spans="1:2" x14ac:dyDescent="0.25">
      <c r="A110" t="s">
        <v>68</v>
      </c>
      <c r="B110">
        <v>1</v>
      </c>
    </row>
    <row r="111" spans="1:2" x14ac:dyDescent="0.25">
      <c r="A111" t="s">
        <v>99</v>
      </c>
      <c r="B111">
        <v>1</v>
      </c>
    </row>
    <row r="112" spans="1:2" x14ac:dyDescent="0.25">
      <c r="A112" t="s">
        <v>107</v>
      </c>
      <c r="B112">
        <v>1</v>
      </c>
    </row>
    <row r="113" spans="1:2" x14ac:dyDescent="0.25">
      <c r="A113" t="s">
        <v>116</v>
      </c>
      <c r="B113">
        <v>1</v>
      </c>
    </row>
    <row r="114" spans="1:2" x14ac:dyDescent="0.25">
      <c r="A114" t="s">
        <v>123</v>
      </c>
      <c r="B114">
        <v>1</v>
      </c>
    </row>
    <row r="115" spans="1:2" x14ac:dyDescent="0.25">
      <c r="A115" t="s">
        <v>268</v>
      </c>
      <c r="B115">
        <v>1</v>
      </c>
    </row>
    <row r="116" spans="1:2" x14ac:dyDescent="0.25">
      <c r="A116" t="s">
        <v>175</v>
      </c>
      <c r="B116">
        <v>1</v>
      </c>
    </row>
    <row r="117" spans="1:2" x14ac:dyDescent="0.25">
      <c r="A117" t="s">
        <v>291</v>
      </c>
      <c r="B117">
        <v>1</v>
      </c>
    </row>
    <row r="118" spans="1:2" x14ac:dyDescent="0.25">
      <c r="A118" t="s">
        <v>303</v>
      </c>
      <c r="B118">
        <v>1</v>
      </c>
    </row>
    <row r="119" spans="1:2" x14ac:dyDescent="0.25">
      <c r="A119" t="s">
        <v>279</v>
      </c>
      <c r="B119">
        <v>1</v>
      </c>
    </row>
    <row r="120" spans="1:2" x14ac:dyDescent="0.25">
      <c r="A120" t="s">
        <v>18</v>
      </c>
      <c r="B120">
        <v>1</v>
      </c>
    </row>
    <row r="121" spans="1:2" x14ac:dyDescent="0.25">
      <c r="A121" t="s">
        <v>69</v>
      </c>
      <c r="B121">
        <v>1</v>
      </c>
    </row>
    <row r="122" spans="1:2" x14ac:dyDescent="0.25">
      <c r="A122" t="s">
        <v>80</v>
      </c>
      <c r="B122">
        <v>1</v>
      </c>
    </row>
    <row r="123" spans="1:2" x14ac:dyDescent="0.25">
      <c r="A123" t="s">
        <v>87</v>
      </c>
      <c r="B123">
        <v>1</v>
      </c>
    </row>
    <row r="124" spans="1:2" x14ac:dyDescent="0.25">
      <c r="A124" t="s">
        <v>100</v>
      </c>
      <c r="B124">
        <v>1</v>
      </c>
    </row>
    <row r="125" spans="1:2" x14ac:dyDescent="0.25">
      <c r="A125" t="s">
        <v>124</v>
      </c>
      <c r="B125">
        <v>1</v>
      </c>
    </row>
    <row r="126" spans="1:2" x14ac:dyDescent="0.25">
      <c r="A126" t="s">
        <v>133</v>
      </c>
      <c r="B126">
        <v>1</v>
      </c>
    </row>
    <row r="127" spans="1:2" x14ac:dyDescent="0.25">
      <c r="A127" t="s">
        <v>141</v>
      </c>
      <c r="B127">
        <v>1</v>
      </c>
    </row>
    <row r="128" spans="1:2" x14ac:dyDescent="0.25">
      <c r="A128" t="s">
        <v>185</v>
      </c>
      <c r="B128">
        <v>1</v>
      </c>
    </row>
    <row r="129" spans="1:2" x14ac:dyDescent="0.25">
      <c r="A129" t="s">
        <v>221</v>
      </c>
      <c r="B129">
        <v>1</v>
      </c>
    </row>
    <row r="130" spans="1:2" x14ac:dyDescent="0.25">
      <c r="A130" t="s">
        <v>237</v>
      </c>
      <c r="B130">
        <v>1</v>
      </c>
    </row>
    <row r="131" spans="1:2" x14ac:dyDescent="0.25">
      <c r="A131" t="s">
        <v>286</v>
      </c>
      <c r="B131">
        <v>1</v>
      </c>
    </row>
    <row r="132" spans="1:2" x14ac:dyDescent="0.25">
      <c r="A132" t="s">
        <v>308</v>
      </c>
      <c r="B132">
        <v>1</v>
      </c>
    </row>
    <row r="133" spans="1:2" x14ac:dyDescent="0.25">
      <c r="A133" t="s">
        <v>325</v>
      </c>
      <c r="B133">
        <v>1</v>
      </c>
    </row>
    <row r="134" spans="1:2" x14ac:dyDescent="0.25">
      <c r="A134" t="s">
        <v>389</v>
      </c>
      <c r="B134">
        <v>1</v>
      </c>
    </row>
    <row r="135" spans="1:2" x14ac:dyDescent="0.25">
      <c r="A135" t="s">
        <v>38</v>
      </c>
      <c r="B135">
        <v>1</v>
      </c>
    </row>
    <row r="136" spans="1:2" x14ac:dyDescent="0.25">
      <c r="A136" t="s">
        <v>47</v>
      </c>
      <c r="B136">
        <v>1</v>
      </c>
    </row>
    <row r="137" spans="1:2" x14ac:dyDescent="0.25">
      <c r="A137" t="s">
        <v>125</v>
      </c>
      <c r="B137">
        <v>1</v>
      </c>
    </row>
    <row r="138" spans="1:2" x14ac:dyDescent="0.25">
      <c r="A138" t="s">
        <v>134</v>
      </c>
      <c r="B138">
        <v>1</v>
      </c>
    </row>
    <row r="139" spans="1:2" x14ac:dyDescent="0.25">
      <c r="A139" t="s">
        <v>209</v>
      </c>
      <c r="B139">
        <v>1</v>
      </c>
    </row>
    <row r="140" spans="1:2" x14ac:dyDescent="0.25">
      <c r="A140" t="s">
        <v>210</v>
      </c>
      <c r="B140">
        <v>1</v>
      </c>
    </row>
    <row r="141" spans="1:2" x14ac:dyDescent="0.25">
      <c r="A141" t="s">
        <v>287</v>
      </c>
      <c r="B141">
        <v>1</v>
      </c>
    </row>
    <row r="142" spans="1:2" x14ac:dyDescent="0.25">
      <c r="A142" t="s">
        <v>326</v>
      </c>
      <c r="B142">
        <v>1</v>
      </c>
    </row>
    <row r="143" spans="1:2" x14ac:dyDescent="0.25">
      <c r="A143" t="s">
        <v>373</v>
      </c>
      <c r="B143">
        <v>1</v>
      </c>
    </row>
    <row r="144" spans="1:2" x14ac:dyDescent="0.25">
      <c r="A144" t="s">
        <v>30</v>
      </c>
      <c r="B144">
        <v>1</v>
      </c>
    </row>
    <row r="145" spans="1:2" x14ac:dyDescent="0.25">
      <c r="A145" t="s">
        <v>101</v>
      </c>
      <c r="B145">
        <v>1</v>
      </c>
    </row>
    <row r="146" spans="1:2" x14ac:dyDescent="0.25">
      <c r="A146" t="s">
        <v>118</v>
      </c>
      <c r="B146">
        <v>1</v>
      </c>
    </row>
    <row r="147" spans="1:2" x14ac:dyDescent="0.25">
      <c r="A147" t="s">
        <v>126</v>
      </c>
      <c r="B147">
        <v>1</v>
      </c>
    </row>
    <row r="148" spans="1:2" x14ac:dyDescent="0.25">
      <c r="A148" t="s">
        <v>142</v>
      </c>
      <c r="B148">
        <v>1</v>
      </c>
    </row>
    <row r="149" spans="1:2" x14ac:dyDescent="0.25">
      <c r="A149" t="s">
        <v>288</v>
      </c>
      <c r="B149">
        <v>1</v>
      </c>
    </row>
    <row r="150" spans="1:2" x14ac:dyDescent="0.25">
      <c r="A150" t="s">
        <v>304</v>
      </c>
      <c r="B150">
        <v>1</v>
      </c>
    </row>
    <row r="151" spans="1:2" x14ac:dyDescent="0.25">
      <c r="A151" t="s">
        <v>322</v>
      </c>
      <c r="B151">
        <v>1</v>
      </c>
    </row>
    <row r="152" spans="1:2" x14ac:dyDescent="0.25">
      <c r="A152" t="s">
        <v>354</v>
      </c>
      <c r="B152">
        <v>1</v>
      </c>
    </row>
    <row r="153" spans="1:2" x14ac:dyDescent="0.25">
      <c r="A153" t="s">
        <v>358</v>
      </c>
      <c r="B153">
        <v>1</v>
      </c>
    </row>
    <row r="154" spans="1:2" x14ac:dyDescent="0.25">
      <c r="A154" t="s">
        <v>31</v>
      </c>
      <c r="B154">
        <v>1</v>
      </c>
    </row>
    <row r="155" spans="1:2" x14ac:dyDescent="0.25">
      <c r="A155" t="s">
        <v>75</v>
      </c>
      <c r="B155">
        <v>1</v>
      </c>
    </row>
    <row r="156" spans="1:2" x14ac:dyDescent="0.25">
      <c r="A156" t="s">
        <v>102</v>
      </c>
      <c r="B156">
        <v>1</v>
      </c>
    </row>
    <row r="157" spans="1:2" x14ac:dyDescent="0.25">
      <c r="A157" t="s">
        <v>108</v>
      </c>
      <c r="B157">
        <v>1</v>
      </c>
    </row>
    <row r="158" spans="1:2" x14ac:dyDescent="0.25">
      <c r="A158" t="s">
        <v>135</v>
      </c>
      <c r="B158">
        <v>1</v>
      </c>
    </row>
    <row r="159" spans="1:2" x14ac:dyDescent="0.25">
      <c r="A159" t="s">
        <v>143</v>
      </c>
      <c r="B159">
        <v>1</v>
      </c>
    </row>
    <row r="160" spans="1:2" x14ac:dyDescent="0.25">
      <c r="A160" t="s">
        <v>271</v>
      </c>
      <c r="B160">
        <v>1</v>
      </c>
    </row>
    <row r="161" spans="1:2" x14ac:dyDescent="0.25">
      <c r="A161" t="s">
        <v>293</v>
      </c>
      <c r="B161">
        <v>1</v>
      </c>
    </row>
    <row r="162" spans="1:2" x14ac:dyDescent="0.25">
      <c r="A162" t="s">
        <v>305</v>
      </c>
      <c r="B162">
        <v>1</v>
      </c>
    </row>
    <row r="163" spans="1:2" x14ac:dyDescent="0.25">
      <c r="A163" t="s">
        <v>309</v>
      </c>
      <c r="B163">
        <v>1</v>
      </c>
    </row>
    <row r="164" spans="1:2" x14ac:dyDescent="0.25">
      <c r="A164" t="s">
        <v>7</v>
      </c>
      <c r="B164">
        <v>1</v>
      </c>
    </row>
    <row r="165" spans="1:2" x14ac:dyDescent="0.25">
      <c r="A165" t="s">
        <v>365</v>
      </c>
      <c r="B165">
        <v>1</v>
      </c>
    </row>
    <row r="166" spans="1:2" x14ac:dyDescent="0.25">
      <c r="A166" t="s">
        <v>374</v>
      </c>
      <c r="B166">
        <v>1</v>
      </c>
    </row>
    <row r="167" spans="1:2" x14ac:dyDescent="0.25">
      <c r="A167" t="s">
        <v>32</v>
      </c>
      <c r="B167">
        <v>1</v>
      </c>
    </row>
    <row r="168" spans="1:2" x14ac:dyDescent="0.25">
      <c r="A168" t="s">
        <v>40</v>
      </c>
      <c r="B168">
        <v>1</v>
      </c>
    </row>
    <row r="169" spans="1:2" x14ac:dyDescent="0.25">
      <c r="A169" t="s">
        <v>70</v>
      </c>
      <c r="B169">
        <v>1</v>
      </c>
    </row>
    <row r="170" spans="1:2" x14ac:dyDescent="0.25">
      <c r="A170" t="s">
        <v>76</v>
      </c>
      <c r="B170">
        <v>1</v>
      </c>
    </row>
    <row r="171" spans="1:2" x14ac:dyDescent="0.25">
      <c r="A171" t="s">
        <v>94</v>
      </c>
      <c r="B171">
        <v>1</v>
      </c>
    </row>
    <row r="172" spans="1:2" x14ac:dyDescent="0.25">
      <c r="A172" t="s">
        <v>103</v>
      </c>
      <c r="B172">
        <v>1</v>
      </c>
    </row>
    <row r="173" spans="1:2" x14ac:dyDescent="0.25">
      <c r="A173" t="s">
        <v>109</v>
      </c>
      <c r="B173">
        <v>1</v>
      </c>
    </row>
    <row r="174" spans="1:2" x14ac:dyDescent="0.25">
      <c r="A174" t="s">
        <v>119</v>
      </c>
      <c r="B174">
        <v>1</v>
      </c>
    </row>
    <row r="175" spans="1:2" x14ac:dyDescent="0.25">
      <c r="A175" t="s">
        <v>128</v>
      </c>
      <c r="B175">
        <v>1</v>
      </c>
    </row>
    <row r="176" spans="1:2" x14ac:dyDescent="0.25">
      <c r="A176" t="s">
        <v>136</v>
      </c>
      <c r="B176">
        <v>1</v>
      </c>
    </row>
    <row r="177" spans="1:2" x14ac:dyDescent="0.25">
      <c r="A177" t="s">
        <v>208</v>
      </c>
      <c r="B177">
        <v>1</v>
      </c>
    </row>
    <row r="178" spans="1:2" x14ac:dyDescent="0.25">
      <c r="A178" t="s">
        <v>306</v>
      </c>
      <c r="B178">
        <v>1</v>
      </c>
    </row>
    <row r="179" spans="1:2" x14ac:dyDescent="0.25">
      <c r="A179" t="s">
        <v>194</v>
      </c>
      <c r="B179">
        <v>1</v>
      </c>
    </row>
    <row r="180" spans="1:2" x14ac:dyDescent="0.25">
      <c r="A180" t="s">
        <v>277</v>
      </c>
      <c r="B180">
        <v>1</v>
      </c>
    </row>
    <row r="181" spans="1:2" x14ac:dyDescent="0.25">
      <c r="A181" t="s">
        <v>197</v>
      </c>
      <c r="B181">
        <v>1</v>
      </c>
    </row>
    <row r="182" spans="1:2" x14ac:dyDescent="0.25">
      <c r="A182" t="s">
        <v>370</v>
      </c>
      <c r="B182">
        <v>1</v>
      </c>
    </row>
    <row r="183" spans="1:2" x14ac:dyDescent="0.25">
      <c r="A183" t="s">
        <v>381</v>
      </c>
      <c r="B183">
        <v>1</v>
      </c>
    </row>
    <row r="184" spans="1:2" x14ac:dyDescent="0.25">
      <c r="A184" t="s">
        <v>390</v>
      </c>
      <c r="B184">
        <v>1</v>
      </c>
    </row>
  </sheetData>
  <conditionalFormatting sqref="A2:A184">
    <cfRule type="cellIs" dxfId="119" priority="2" operator="equal">
      <formula>"data"</formula>
    </cfRule>
  </conditionalFormatting>
  <conditionalFormatting sqref="A1">
    <cfRule type="cellIs" dxfId="118" priority="1" operator="equal">
      <formula>"data"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14"/>
  <sheetViews>
    <sheetView workbookViewId="0">
      <selection activeCell="D22" sqref="D22"/>
    </sheetView>
  </sheetViews>
  <sheetFormatPr baseColWidth="10" defaultRowHeight="15" x14ac:dyDescent="0.25"/>
  <cols>
    <col min="1" max="1" width="21.85546875" bestFit="1" customWidth="1"/>
  </cols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41</v>
      </c>
    </row>
    <row r="3" spans="1:2" x14ac:dyDescent="0.25">
      <c r="A3" t="s">
        <v>27</v>
      </c>
      <c r="B3">
        <v>32</v>
      </c>
    </row>
    <row r="4" spans="1:2" x14ac:dyDescent="0.25">
      <c r="A4" t="s">
        <v>6</v>
      </c>
      <c r="B4">
        <v>20</v>
      </c>
    </row>
    <row r="5" spans="1:2" x14ac:dyDescent="0.25">
      <c r="A5" t="s">
        <v>8</v>
      </c>
      <c r="B5">
        <v>15</v>
      </c>
    </row>
    <row r="6" spans="1:2" x14ac:dyDescent="0.25">
      <c r="A6" t="s">
        <v>37</v>
      </c>
      <c r="B6">
        <v>15</v>
      </c>
    </row>
    <row r="7" spans="1:2" x14ac:dyDescent="0.25">
      <c r="A7" t="s">
        <v>139</v>
      </c>
      <c r="B7">
        <v>15</v>
      </c>
    </row>
    <row r="8" spans="1:2" x14ac:dyDescent="0.25">
      <c r="A8" t="s">
        <v>121</v>
      </c>
      <c r="B8">
        <v>14</v>
      </c>
    </row>
    <row r="9" spans="1:2" x14ac:dyDescent="0.25">
      <c r="A9" t="s">
        <v>24</v>
      </c>
      <c r="B9">
        <v>13</v>
      </c>
    </row>
    <row r="10" spans="1:2" x14ac:dyDescent="0.25">
      <c r="A10" t="s">
        <v>28</v>
      </c>
      <c r="B10">
        <v>12</v>
      </c>
    </row>
    <row r="11" spans="1:2" x14ac:dyDescent="0.25">
      <c r="A11" t="s">
        <v>96</v>
      </c>
      <c r="B11">
        <v>11</v>
      </c>
    </row>
    <row r="12" spans="1:2" x14ac:dyDescent="0.25">
      <c r="A12" t="s">
        <v>132</v>
      </c>
      <c r="B12">
        <v>10</v>
      </c>
    </row>
    <row r="13" spans="1:2" x14ac:dyDescent="0.25">
      <c r="A13" t="s">
        <v>344</v>
      </c>
      <c r="B13">
        <v>10</v>
      </c>
    </row>
    <row r="14" spans="1:2" x14ac:dyDescent="0.25">
      <c r="A14" t="s">
        <v>62</v>
      </c>
      <c r="B14">
        <v>10</v>
      </c>
    </row>
    <row r="15" spans="1:2" x14ac:dyDescent="0.25">
      <c r="A15" t="s">
        <v>42</v>
      </c>
      <c r="B15">
        <v>9</v>
      </c>
    </row>
    <row r="16" spans="1:2" x14ac:dyDescent="0.25">
      <c r="A16" t="s">
        <v>39</v>
      </c>
      <c r="B16">
        <v>9</v>
      </c>
    </row>
    <row r="17" spans="1:2" x14ac:dyDescent="0.25">
      <c r="A17" t="s">
        <v>4</v>
      </c>
      <c r="B17">
        <v>8</v>
      </c>
    </row>
    <row r="18" spans="1:2" x14ac:dyDescent="0.25">
      <c r="A18" t="s">
        <v>29</v>
      </c>
      <c r="B18">
        <v>8</v>
      </c>
    </row>
    <row r="19" spans="1:2" x14ac:dyDescent="0.25">
      <c r="A19" t="s">
        <v>207</v>
      </c>
      <c r="B19">
        <v>7</v>
      </c>
    </row>
    <row r="20" spans="1:2" x14ac:dyDescent="0.25">
      <c r="A20" t="s">
        <v>46</v>
      </c>
      <c r="B20">
        <v>6</v>
      </c>
    </row>
    <row r="21" spans="1:2" x14ac:dyDescent="0.25">
      <c r="A21" t="s">
        <v>88</v>
      </c>
      <c r="B21">
        <v>6</v>
      </c>
    </row>
    <row r="22" spans="1:2" x14ac:dyDescent="0.25">
      <c r="A22" t="s">
        <v>43</v>
      </c>
      <c r="B22">
        <v>6</v>
      </c>
    </row>
    <row r="23" spans="1:2" x14ac:dyDescent="0.25">
      <c r="A23" t="s">
        <v>56</v>
      </c>
      <c r="B23">
        <v>6</v>
      </c>
    </row>
    <row r="24" spans="1:2" x14ac:dyDescent="0.25">
      <c r="A24" t="s">
        <v>52</v>
      </c>
      <c r="B24">
        <v>6</v>
      </c>
    </row>
    <row r="25" spans="1:2" x14ac:dyDescent="0.25">
      <c r="A25" t="s">
        <v>60</v>
      </c>
      <c r="B25">
        <v>6</v>
      </c>
    </row>
    <row r="26" spans="1:2" x14ac:dyDescent="0.25">
      <c r="A26" t="s">
        <v>149</v>
      </c>
      <c r="B26">
        <v>6</v>
      </c>
    </row>
    <row r="27" spans="1:2" x14ac:dyDescent="0.25">
      <c r="A27" t="s">
        <v>64</v>
      </c>
      <c r="B27">
        <v>6</v>
      </c>
    </row>
    <row r="28" spans="1:2" x14ac:dyDescent="0.25">
      <c r="A28" t="s">
        <v>183</v>
      </c>
      <c r="B28">
        <v>5</v>
      </c>
    </row>
    <row r="29" spans="1:2" x14ac:dyDescent="0.25">
      <c r="A29" t="s">
        <v>130</v>
      </c>
      <c r="B29">
        <v>5</v>
      </c>
    </row>
    <row r="30" spans="1:2" x14ac:dyDescent="0.25">
      <c r="A30" t="s">
        <v>249</v>
      </c>
      <c r="B30">
        <v>5</v>
      </c>
    </row>
    <row r="31" spans="1:2" x14ac:dyDescent="0.25">
      <c r="A31" t="s">
        <v>330</v>
      </c>
      <c r="B31">
        <v>5</v>
      </c>
    </row>
    <row r="32" spans="1:2" x14ac:dyDescent="0.25">
      <c r="A32" t="s">
        <v>36</v>
      </c>
      <c r="B32">
        <v>5</v>
      </c>
    </row>
    <row r="33" spans="1:2" x14ac:dyDescent="0.25">
      <c r="A33" t="s">
        <v>105</v>
      </c>
      <c r="B33">
        <v>5</v>
      </c>
    </row>
    <row r="34" spans="1:2" x14ac:dyDescent="0.25">
      <c r="A34" t="s">
        <v>163</v>
      </c>
      <c r="B34">
        <v>5</v>
      </c>
    </row>
    <row r="35" spans="1:2" x14ac:dyDescent="0.25">
      <c r="A35" t="s">
        <v>182</v>
      </c>
      <c r="B35">
        <v>5</v>
      </c>
    </row>
    <row r="36" spans="1:2" x14ac:dyDescent="0.25">
      <c r="A36" t="s">
        <v>188</v>
      </c>
      <c r="B36">
        <v>5</v>
      </c>
    </row>
    <row r="37" spans="1:2" x14ac:dyDescent="0.25">
      <c r="A37" t="s">
        <v>327</v>
      </c>
      <c r="B37">
        <v>5</v>
      </c>
    </row>
    <row r="38" spans="1:2" x14ac:dyDescent="0.25">
      <c r="A38" t="s">
        <v>184</v>
      </c>
      <c r="B38">
        <v>5</v>
      </c>
    </row>
    <row r="39" spans="1:2" x14ac:dyDescent="0.25">
      <c r="A39" t="s">
        <v>148</v>
      </c>
      <c r="B39">
        <v>5</v>
      </c>
    </row>
    <row r="40" spans="1:2" x14ac:dyDescent="0.25">
      <c r="A40" t="s">
        <v>74</v>
      </c>
      <c r="B40">
        <v>5</v>
      </c>
    </row>
    <row r="41" spans="1:2" x14ac:dyDescent="0.25">
      <c r="A41" t="s">
        <v>145</v>
      </c>
      <c r="B41">
        <v>4</v>
      </c>
    </row>
    <row r="42" spans="1:2" x14ac:dyDescent="0.25">
      <c r="A42" t="s">
        <v>206</v>
      </c>
      <c r="B42">
        <v>4</v>
      </c>
    </row>
    <row r="43" spans="1:2" x14ac:dyDescent="0.25">
      <c r="A43" t="s">
        <v>81</v>
      </c>
      <c r="B43">
        <v>4</v>
      </c>
    </row>
    <row r="44" spans="1:2" x14ac:dyDescent="0.25">
      <c r="A44" t="s">
        <v>2</v>
      </c>
      <c r="B44">
        <v>4</v>
      </c>
    </row>
    <row r="45" spans="1:2" x14ac:dyDescent="0.25">
      <c r="A45" t="s">
        <v>140</v>
      </c>
      <c r="B45">
        <v>4</v>
      </c>
    </row>
    <row r="46" spans="1:2" x14ac:dyDescent="0.25">
      <c r="A46" t="s">
        <v>21</v>
      </c>
      <c r="B46">
        <v>4</v>
      </c>
    </row>
    <row r="47" spans="1:2" x14ac:dyDescent="0.25">
      <c r="A47" t="s">
        <v>242</v>
      </c>
      <c r="B47">
        <v>4</v>
      </c>
    </row>
    <row r="48" spans="1:2" x14ac:dyDescent="0.25">
      <c r="A48" t="s">
        <v>127</v>
      </c>
      <c r="B48">
        <v>4</v>
      </c>
    </row>
    <row r="49" spans="1:2" x14ac:dyDescent="0.25">
      <c r="A49" t="s">
        <v>3</v>
      </c>
      <c r="B49">
        <v>4</v>
      </c>
    </row>
    <row r="50" spans="1:2" x14ac:dyDescent="0.25">
      <c r="A50" t="s">
        <v>25</v>
      </c>
      <c r="B50">
        <v>4</v>
      </c>
    </row>
    <row r="51" spans="1:2" x14ac:dyDescent="0.25">
      <c r="A51" t="s">
        <v>20</v>
      </c>
      <c r="B51">
        <v>4</v>
      </c>
    </row>
    <row r="52" spans="1:2" x14ac:dyDescent="0.25">
      <c r="A52" t="s">
        <v>222</v>
      </c>
      <c r="B52">
        <v>4</v>
      </c>
    </row>
    <row r="53" spans="1:2" x14ac:dyDescent="0.25">
      <c r="A53" t="s">
        <v>245</v>
      </c>
      <c r="B53">
        <v>4</v>
      </c>
    </row>
    <row r="54" spans="1:2" x14ac:dyDescent="0.25">
      <c r="A54" t="s">
        <v>282</v>
      </c>
      <c r="B54">
        <v>4</v>
      </c>
    </row>
    <row r="55" spans="1:2" x14ac:dyDescent="0.25">
      <c r="A55" t="s">
        <v>73</v>
      </c>
      <c r="B55">
        <v>4</v>
      </c>
    </row>
    <row r="56" spans="1:2" x14ac:dyDescent="0.25">
      <c r="A56" t="s">
        <v>86</v>
      </c>
      <c r="B56">
        <v>4</v>
      </c>
    </row>
    <row r="57" spans="1:2" x14ac:dyDescent="0.25">
      <c r="A57" t="s">
        <v>125</v>
      </c>
      <c r="B57">
        <v>4</v>
      </c>
    </row>
    <row r="58" spans="1:2" x14ac:dyDescent="0.25">
      <c r="A58" t="s">
        <v>79</v>
      </c>
      <c r="B58">
        <v>4</v>
      </c>
    </row>
    <row r="59" spans="1:2" x14ac:dyDescent="0.25">
      <c r="A59" t="s">
        <v>55</v>
      </c>
      <c r="B59">
        <v>4</v>
      </c>
    </row>
    <row r="60" spans="1:2" x14ac:dyDescent="0.25">
      <c r="A60" t="s">
        <v>159</v>
      </c>
      <c r="B60">
        <v>4</v>
      </c>
    </row>
    <row r="61" spans="1:2" x14ac:dyDescent="0.25">
      <c r="A61" t="s">
        <v>1</v>
      </c>
      <c r="B61">
        <v>3</v>
      </c>
    </row>
    <row r="62" spans="1:2" x14ac:dyDescent="0.25">
      <c r="A62" t="s">
        <v>13</v>
      </c>
      <c r="B62">
        <v>3</v>
      </c>
    </row>
    <row r="63" spans="1:2" x14ac:dyDescent="0.25">
      <c r="A63" t="s">
        <v>258</v>
      </c>
      <c r="B63">
        <v>3</v>
      </c>
    </row>
    <row r="64" spans="1:2" x14ac:dyDescent="0.25">
      <c r="A64" t="s">
        <v>142</v>
      </c>
      <c r="B64">
        <v>3</v>
      </c>
    </row>
    <row r="65" spans="1:2" x14ac:dyDescent="0.25">
      <c r="A65" t="s">
        <v>51</v>
      </c>
      <c r="B65">
        <v>3</v>
      </c>
    </row>
    <row r="66" spans="1:2" x14ac:dyDescent="0.25">
      <c r="A66" t="s">
        <v>54</v>
      </c>
      <c r="B66">
        <v>3</v>
      </c>
    </row>
    <row r="67" spans="1:2" x14ac:dyDescent="0.25">
      <c r="A67" t="s">
        <v>147</v>
      </c>
      <c r="B67">
        <v>3</v>
      </c>
    </row>
    <row r="68" spans="1:2" x14ac:dyDescent="0.25">
      <c r="A68" t="s">
        <v>187</v>
      </c>
      <c r="B68">
        <v>3</v>
      </c>
    </row>
    <row r="69" spans="1:2" x14ac:dyDescent="0.25">
      <c r="A69" t="s">
        <v>199</v>
      </c>
      <c r="B69">
        <v>3</v>
      </c>
    </row>
    <row r="70" spans="1:2" x14ac:dyDescent="0.25">
      <c r="A70" t="s">
        <v>210</v>
      </c>
      <c r="B70">
        <v>3</v>
      </c>
    </row>
    <row r="71" spans="1:2" x14ac:dyDescent="0.25">
      <c r="A71" t="s">
        <v>61</v>
      </c>
      <c r="B71">
        <v>3</v>
      </c>
    </row>
    <row r="72" spans="1:2" x14ac:dyDescent="0.25">
      <c r="A72" t="s">
        <v>368</v>
      </c>
      <c r="B72">
        <v>3</v>
      </c>
    </row>
    <row r="73" spans="1:2" x14ac:dyDescent="0.25">
      <c r="A73" t="s">
        <v>5</v>
      </c>
      <c r="B73">
        <v>3</v>
      </c>
    </row>
    <row r="74" spans="1:2" x14ac:dyDescent="0.25">
      <c r="A74" t="s">
        <v>38</v>
      </c>
      <c r="B74">
        <v>3</v>
      </c>
    </row>
    <row r="75" spans="1:2" x14ac:dyDescent="0.25">
      <c r="A75" t="s">
        <v>241</v>
      </c>
      <c r="B75">
        <v>3</v>
      </c>
    </row>
    <row r="76" spans="1:2" x14ac:dyDescent="0.25">
      <c r="A76" t="s">
        <v>170</v>
      </c>
      <c r="B76">
        <v>3</v>
      </c>
    </row>
    <row r="77" spans="1:2" x14ac:dyDescent="0.25">
      <c r="A77" t="s">
        <v>117</v>
      </c>
      <c r="B77">
        <v>3</v>
      </c>
    </row>
    <row r="78" spans="1:2" x14ac:dyDescent="0.25">
      <c r="A78" t="s">
        <v>292</v>
      </c>
      <c r="B78">
        <v>3</v>
      </c>
    </row>
    <row r="79" spans="1:2" x14ac:dyDescent="0.25">
      <c r="A79" t="s">
        <v>209</v>
      </c>
      <c r="B79">
        <v>3</v>
      </c>
    </row>
    <row r="80" spans="1:2" x14ac:dyDescent="0.25">
      <c r="A80" t="s">
        <v>277</v>
      </c>
      <c r="B80">
        <v>3</v>
      </c>
    </row>
    <row r="81" spans="1:2" x14ac:dyDescent="0.25">
      <c r="A81" t="s">
        <v>194</v>
      </c>
      <c r="B81">
        <v>3</v>
      </c>
    </row>
    <row r="82" spans="1:2" x14ac:dyDescent="0.25">
      <c r="A82" t="s">
        <v>49</v>
      </c>
      <c r="B82">
        <v>3</v>
      </c>
    </row>
    <row r="83" spans="1:2" x14ac:dyDescent="0.25">
      <c r="A83" t="s">
        <v>23</v>
      </c>
      <c r="B83">
        <v>2</v>
      </c>
    </row>
    <row r="84" spans="1:2" x14ac:dyDescent="0.25">
      <c r="A84" t="s">
        <v>83</v>
      </c>
      <c r="B84">
        <v>2</v>
      </c>
    </row>
    <row r="85" spans="1:2" x14ac:dyDescent="0.25">
      <c r="A85" t="s">
        <v>151</v>
      </c>
      <c r="B85">
        <v>2</v>
      </c>
    </row>
    <row r="86" spans="1:2" x14ac:dyDescent="0.25">
      <c r="A86" t="s">
        <v>161</v>
      </c>
      <c r="B86">
        <v>2</v>
      </c>
    </row>
    <row r="87" spans="1:2" x14ac:dyDescent="0.25">
      <c r="A87" t="s">
        <v>203</v>
      </c>
      <c r="B87">
        <v>2</v>
      </c>
    </row>
    <row r="88" spans="1:2" x14ac:dyDescent="0.25">
      <c r="A88" t="s">
        <v>224</v>
      </c>
      <c r="B88">
        <v>2</v>
      </c>
    </row>
    <row r="89" spans="1:2" x14ac:dyDescent="0.25">
      <c r="A89" t="s">
        <v>279</v>
      </c>
      <c r="B89">
        <v>2</v>
      </c>
    </row>
    <row r="90" spans="1:2" x14ac:dyDescent="0.25">
      <c r="A90" t="s">
        <v>57</v>
      </c>
      <c r="B90">
        <v>2</v>
      </c>
    </row>
    <row r="91" spans="1:2" x14ac:dyDescent="0.25">
      <c r="A91" t="s">
        <v>290</v>
      </c>
      <c r="B91">
        <v>2</v>
      </c>
    </row>
    <row r="92" spans="1:2" x14ac:dyDescent="0.25">
      <c r="A92" t="s">
        <v>301</v>
      </c>
      <c r="B92">
        <v>2</v>
      </c>
    </row>
    <row r="93" spans="1:2" x14ac:dyDescent="0.25">
      <c r="A93" t="s">
        <v>318</v>
      </c>
      <c r="B93">
        <v>2</v>
      </c>
    </row>
    <row r="94" spans="1:2" x14ac:dyDescent="0.25">
      <c r="A94" t="s">
        <v>204</v>
      </c>
      <c r="B94">
        <v>2</v>
      </c>
    </row>
    <row r="95" spans="1:2" x14ac:dyDescent="0.25">
      <c r="A95" t="s">
        <v>357</v>
      </c>
      <c r="B95">
        <v>2</v>
      </c>
    </row>
    <row r="96" spans="1:2" x14ac:dyDescent="0.25">
      <c r="A96" t="s">
        <v>35</v>
      </c>
      <c r="B96">
        <v>2</v>
      </c>
    </row>
    <row r="97" spans="1:2" x14ac:dyDescent="0.25">
      <c r="A97" t="s">
        <v>84</v>
      </c>
      <c r="B97">
        <v>2</v>
      </c>
    </row>
    <row r="98" spans="1:2" x14ac:dyDescent="0.25">
      <c r="A98" t="s">
        <v>93</v>
      </c>
      <c r="B98">
        <v>2</v>
      </c>
    </row>
    <row r="99" spans="1:2" x14ac:dyDescent="0.25">
      <c r="A99" t="s">
        <v>162</v>
      </c>
      <c r="B99">
        <v>2</v>
      </c>
    </row>
    <row r="100" spans="1:2" x14ac:dyDescent="0.25">
      <c r="A100" t="s">
        <v>197</v>
      </c>
      <c r="B100">
        <v>2</v>
      </c>
    </row>
    <row r="101" spans="1:2" x14ac:dyDescent="0.25">
      <c r="A101" t="s">
        <v>225</v>
      </c>
      <c r="B101">
        <v>2</v>
      </c>
    </row>
    <row r="102" spans="1:2" x14ac:dyDescent="0.25">
      <c r="A102" t="s">
        <v>382</v>
      </c>
      <c r="B102">
        <v>2</v>
      </c>
    </row>
    <row r="103" spans="1:2" x14ac:dyDescent="0.25">
      <c r="A103" t="s">
        <v>91</v>
      </c>
      <c r="B103">
        <v>2</v>
      </c>
    </row>
    <row r="104" spans="1:2" x14ac:dyDescent="0.25">
      <c r="A104" t="s">
        <v>146</v>
      </c>
      <c r="B104">
        <v>2</v>
      </c>
    </row>
    <row r="105" spans="1:2" x14ac:dyDescent="0.25">
      <c r="A105" t="s">
        <v>175</v>
      </c>
      <c r="B105">
        <v>2</v>
      </c>
    </row>
    <row r="106" spans="1:2" x14ac:dyDescent="0.25">
      <c r="A106" t="s">
        <v>179</v>
      </c>
      <c r="B106">
        <v>2</v>
      </c>
    </row>
    <row r="107" spans="1:2" x14ac:dyDescent="0.25">
      <c r="A107" t="s">
        <v>250</v>
      </c>
      <c r="B107">
        <v>2</v>
      </c>
    </row>
    <row r="108" spans="1:2" x14ac:dyDescent="0.25">
      <c r="A108" t="s">
        <v>324</v>
      </c>
      <c r="B108">
        <v>2</v>
      </c>
    </row>
    <row r="109" spans="1:2" x14ac:dyDescent="0.25">
      <c r="A109" t="s">
        <v>15</v>
      </c>
      <c r="B109">
        <v>2</v>
      </c>
    </row>
    <row r="110" spans="1:2" x14ac:dyDescent="0.25">
      <c r="A110" t="s">
        <v>17</v>
      </c>
      <c r="B110">
        <v>2</v>
      </c>
    </row>
    <row r="111" spans="1:2" x14ac:dyDescent="0.25">
      <c r="A111" t="s">
        <v>236</v>
      </c>
      <c r="B111">
        <v>2</v>
      </c>
    </row>
    <row r="112" spans="1:2" x14ac:dyDescent="0.25">
      <c r="A112" t="s">
        <v>92</v>
      </c>
      <c r="B112">
        <v>2</v>
      </c>
    </row>
    <row r="113" spans="1:2" x14ac:dyDescent="0.25">
      <c r="A113" t="s">
        <v>173</v>
      </c>
      <c r="B113">
        <v>2</v>
      </c>
    </row>
    <row r="114" spans="1:2" x14ac:dyDescent="0.25">
      <c r="A114" t="s">
        <v>220</v>
      </c>
      <c r="B114">
        <v>2</v>
      </c>
    </row>
    <row r="115" spans="1:2" x14ac:dyDescent="0.25">
      <c r="A115" t="s">
        <v>32</v>
      </c>
      <c r="B115">
        <v>2</v>
      </c>
    </row>
    <row r="116" spans="1:2" x14ac:dyDescent="0.25">
      <c r="A116" t="s">
        <v>76</v>
      </c>
      <c r="B116">
        <v>2</v>
      </c>
    </row>
    <row r="117" spans="1:2" x14ac:dyDescent="0.25">
      <c r="A117" t="s">
        <v>198</v>
      </c>
      <c r="B117">
        <v>2</v>
      </c>
    </row>
    <row r="118" spans="1:2" x14ac:dyDescent="0.25">
      <c r="A118" t="s">
        <v>208</v>
      </c>
      <c r="B118">
        <v>2</v>
      </c>
    </row>
    <row r="119" spans="1:2" x14ac:dyDescent="0.25">
      <c r="A119" t="s">
        <v>268</v>
      </c>
      <c r="B119">
        <v>2</v>
      </c>
    </row>
    <row r="120" spans="1:2" x14ac:dyDescent="0.25">
      <c r="A120" t="s">
        <v>291</v>
      </c>
      <c r="B120">
        <v>2</v>
      </c>
    </row>
    <row r="121" spans="1:2" x14ac:dyDescent="0.25">
      <c r="A121" t="s">
        <v>48</v>
      </c>
      <c r="B121">
        <v>2</v>
      </c>
    </row>
    <row r="122" spans="1:2" x14ac:dyDescent="0.25">
      <c r="A122" t="s">
        <v>369</v>
      </c>
      <c r="B122">
        <v>2</v>
      </c>
    </row>
    <row r="123" spans="1:2" x14ac:dyDescent="0.25">
      <c r="A123" t="s">
        <v>18</v>
      </c>
      <c r="B123">
        <v>2</v>
      </c>
    </row>
    <row r="124" spans="1:2" x14ac:dyDescent="0.25">
      <c r="A124" t="s">
        <v>185</v>
      </c>
      <c r="B124">
        <v>2</v>
      </c>
    </row>
    <row r="125" spans="1:2" x14ac:dyDescent="0.25">
      <c r="A125" t="s">
        <v>31</v>
      </c>
      <c r="B125">
        <v>2</v>
      </c>
    </row>
    <row r="126" spans="1:2" x14ac:dyDescent="0.25">
      <c r="A126" t="s">
        <v>167</v>
      </c>
      <c r="B126">
        <v>2</v>
      </c>
    </row>
    <row r="127" spans="1:2" x14ac:dyDescent="0.25">
      <c r="A127" t="s">
        <v>126</v>
      </c>
      <c r="B127">
        <v>2</v>
      </c>
    </row>
    <row r="128" spans="1:2" x14ac:dyDescent="0.25">
      <c r="A128" t="s">
        <v>276</v>
      </c>
      <c r="B128">
        <v>2</v>
      </c>
    </row>
    <row r="129" spans="1:2" x14ac:dyDescent="0.25">
      <c r="A129" t="s">
        <v>7</v>
      </c>
      <c r="B129">
        <v>2</v>
      </c>
    </row>
    <row r="130" spans="1:2" x14ac:dyDescent="0.25">
      <c r="A130" t="s">
        <v>47</v>
      </c>
      <c r="B130">
        <v>2</v>
      </c>
    </row>
    <row r="131" spans="1:2" x14ac:dyDescent="0.25">
      <c r="A131" t="s">
        <v>109</v>
      </c>
      <c r="B131">
        <v>2</v>
      </c>
    </row>
    <row r="132" spans="1:2" x14ac:dyDescent="0.25">
      <c r="A132" t="s">
        <v>217</v>
      </c>
      <c r="B132">
        <v>2</v>
      </c>
    </row>
    <row r="133" spans="1:2" x14ac:dyDescent="0.25">
      <c r="A133" t="s">
        <v>12</v>
      </c>
      <c r="B133">
        <v>1</v>
      </c>
    </row>
    <row r="134" spans="1:2" x14ac:dyDescent="0.25">
      <c r="A134" t="s">
        <v>34</v>
      </c>
      <c r="B134">
        <v>1</v>
      </c>
    </row>
    <row r="135" spans="1:2" x14ac:dyDescent="0.25">
      <c r="A135" t="s">
        <v>59</v>
      </c>
      <c r="B135">
        <v>1</v>
      </c>
    </row>
    <row r="136" spans="1:2" x14ac:dyDescent="0.25">
      <c r="A136" t="s">
        <v>66</v>
      </c>
      <c r="B136">
        <v>1</v>
      </c>
    </row>
    <row r="137" spans="1:2" x14ac:dyDescent="0.25">
      <c r="A137" t="s">
        <v>72</v>
      </c>
      <c r="B137">
        <v>1</v>
      </c>
    </row>
    <row r="138" spans="1:2" x14ac:dyDescent="0.25">
      <c r="A138" t="s">
        <v>78</v>
      </c>
      <c r="B138">
        <v>1</v>
      </c>
    </row>
    <row r="139" spans="1:2" x14ac:dyDescent="0.25">
      <c r="A139" t="s">
        <v>90</v>
      </c>
      <c r="B139">
        <v>1</v>
      </c>
    </row>
    <row r="140" spans="1:2" x14ac:dyDescent="0.25">
      <c r="A140" t="s">
        <v>138</v>
      </c>
      <c r="B140">
        <v>1</v>
      </c>
    </row>
    <row r="141" spans="1:2" x14ac:dyDescent="0.25">
      <c r="A141" t="s">
        <v>169</v>
      </c>
      <c r="B141">
        <v>1</v>
      </c>
    </row>
    <row r="142" spans="1:2" x14ac:dyDescent="0.25">
      <c r="A142" t="s">
        <v>190</v>
      </c>
      <c r="B142">
        <v>1</v>
      </c>
    </row>
    <row r="143" spans="1:2" x14ac:dyDescent="0.25">
      <c r="A143" t="s">
        <v>196</v>
      </c>
      <c r="B143">
        <v>1</v>
      </c>
    </row>
    <row r="144" spans="1:2" x14ac:dyDescent="0.25">
      <c r="A144" t="s">
        <v>211</v>
      </c>
      <c r="B144">
        <v>1</v>
      </c>
    </row>
    <row r="145" spans="1:2" x14ac:dyDescent="0.25">
      <c r="A145" t="s">
        <v>239</v>
      </c>
      <c r="B145">
        <v>1</v>
      </c>
    </row>
    <row r="146" spans="1:2" x14ac:dyDescent="0.25">
      <c r="A146" t="s">
        <v>264</v>
      </c>
      <c r="B146">
        <v>1</v>
      </c>
    </row>
    <row r="147" spans="1:2" x14ac:dyDescent="0.25">
      <c r="A147" t="s">
        <v>273</v>
      </c>
      <c r="B147">
        <v>1</v>
      </c>
    </row>
    <row r="148" spans="1:2" x14ac:dyDescent="0.25">
      <c r="A148" t="s">
        <v>295</v>
      </c>
      <c r="B148">
        <v>1</v>
      </c>
    </row>
    <row r="149" spans="1:2" x14ac:dyDescent="0.25">
      <c r="A149" t="s">
        <v>311</v>
      </c>
      <c r="B149">
        <v>1</v>
      </c>
    </row>
    <row r="150" spans="1:2" x14ac:dyDescent="0.25">
      <c r="A150" t="s">
        <v>339</v>
      </c>
      <c r="B150">
        <v>1</v>
      </c>
    </row>
    <row r="151" spans="1:2" x14ac:dyDescent="0.25">
      <c r="A151" t="s">
        <v>349</v>
      </c>
      <c r="B151">
        <v>1</v>
      </c>
    </row>
    <row r="152" spans="1:2" x14ac:dyDescent="0.25">
      <c r="A152" t="s">
        <v>364</v>
      </c>
      <c r="B152">
        <v>1</v>
      </c>
    </row>
    <row r="153" spans="1:2" x14ac:dyDescent="0.25">
      <c r="A153" t="s">
        <v>376</v>
      </c>
      <c r="B153">
        <v>1</v>
      </c>
    </row>
    <row r="154" spans="1:2" x14ac:dyDescent="0.25">
      <c r="A154" t="s">
        <v>388</v>
      </c>
      <c r="B154">
        <v>1</v>
      </c>
    </row>
    <row r="155" spans="1:2" x14ac:dyDescent="0.25">
      <c r="A155" t="s">
        <v>191</v>
      </c>
      <c r="B155">
        <v>1</v>
      </c>
    </row>
    <row r="156" spans="1:2" x14ac:dyDescent="0.25">
      <c r="A156" t="s">
        <v>219</v>
      </c>
      <c r="B156">
        <v>1</v>
      </c>
    </row>
    <row r="157" spans="1:2" x14ac:dyDescent="0.25">
      <c r="A157" t="s">
        <v>270</v>
      </c>
      <c r="B157">
        <v>1</v>
      </c>
    </row>
    <row r="158" spans="1:2" x14ac:dyDescent="0.25">
      <c r="A158" t="s">
        <v>296</v>
      </c>
      <c r="B158">
        <v>1</v>
      </c>
    </row>
    <row r="159" spans="1:2" x14ac:dyDescent="0.25">
      <c r="A159" t="s">
        <v>312</v>
      </c>
      <c r="B159">
        <v>1</v>
      </c>
    </row>
    <row r="160" spans="1:2" x14ac:dyDescent="0.25">
      <c r="A160" t="s">
        <v>319</v>
      </c>
      <c r="B160">
        <v>1</v>
      </c>
    </row>
    <row r="161" spans="1:2" x14ac:dyDescent="0.25">
      <c r="A161" t="s">
        <v>329</v>
      </c>
      <c r="B161">
        <v>1</v>
      </c>
    </row>
    <row r="162" spans="1:2" x14ac:dyDescent="0.25">
      <c r="A162" t="s">
        <v>353</v>
      </c>
      <c r="B162">
        <v>1</v>
      </c>
    </row>
    <row r="163" spans="1:2" x14ac:dyDescent="0.25">
      <c r="A163" t="s">
        <v>14</v>
      </c>
      <c r="B163">
        <v>1</v>
      </c>
    </row>
    <row r="164" spans="1:2" x14ac:dyDescent="0.25">
      <c r="A164" t="s">
        <v>85</v>
      </c>
      <c r="B164">
        <v>1</v>
      </c>
    </row>
    <row r="165" spans="1:2" x14ac:dyDescent="0.25">
      <c r="A165" t="s">
        <v>97</v>
      </c>
      <c r="B165">
        <v>1</v>
      </c>
    </row>
    <row r="166" spans="1:2" x14ac:dyDescent="0.25">
      <c r="A166" t="s">
        <v>111</v>
      </c>
      <c r="B166">
        <v>1</v>
      </c>
    </row>
    <row r="167" spans="1:2" x14ac:dyDescent="0.25">
      <c r="A167" t="s">
        <v>131</v>
      </c>
      <c r="B167">
        <v>1</v>
      </c>
    </row>
    <row r="168" spans="1:2" x14ac:dyDescent="0.25">
      <c r="A168" t="s">
        <v>157</v>
      </c>
      <c r="B168">
        <v>1</v>
      </c>
    </row>
    <row r="169" spans="1:2" x14ac:dyDescent="0.25">
      <c r="A169" t="s">
        <v>226</v>
      </c>
      <c r="B169">
        <v>1</v>
      </c>
    </row>
    <row r="170" spans="1:2" x14ac:dyDescent="0.25">
      <c r="A170" t="s">
        <v>240</v>
      </c>
      <c r="B170">
        <v>1</v>
      </c>
    </row>
    <row r="171" spans="1:2" x14ac:dyDescent="0.25">
      <c r="A171" t="s">
        <v>265</v>
      </c>
      <c r="B171">
        <v>1</v>
      </c>
    </row>
    <row r="172" spans="1:2" x14ac:dyDescent="0.25">
      <c r="A172" t="s">
        <v>285</v>
      </c>
      <c r="B172">
        <v>1</v>
      </c>
    </row>
    <row r="173" spans="1:2" x14ac:dyDescent="0.25">
      <c r="A173" t="s">
        <v>340</v>
      </c>
      <c r="B173">
        <v>1</v>
      </c>
    </row>
    <row r="174" spans="1:2" x14ac:dyDescent="0.25">
      <c r="A174" t="s">
        <v>383</v>
      </c>
      <c r="B174">
        <v>1</v>
      </c>
    </row>
    <row r="175" spans="1:2" x14ac:dyDescent="0.25">
      <c r="A175" t="s">
        <v>53</v>
      </c>
      <c r="B175">
        <v>1</v>
      </c>
    </row>
    <row r="176" spans="1:2" x14ac:dyDescent="0.25">
      <c r="A176" t="s">
        <v>67</v>
      </c>
      <c r="B176">
        <v>1</v>
      </c>
    </row>
    <row r="177" spans="1:2" x14ac:dyDescent="0.25">
      <c r="A177" t="s">
        <v>98</v>
      </c>
      <c r="B177">
        <v>1</v>
      </c>
    </row>
    <row r="178" spans="1:2" x14ac:dyDescent="0.25">
      <c r="A178" t="s">
        <v>106</v>
      </c>
      <c r="B178">
        <v>1</v>
      </c>
    </row>
    <row r="179" spans="1:2" x14ac:dyDescent="0.25">
      <c r="A179" t="s">
        <v>122</v>
      </c>
      <c r="B179">
        <v>1</v>
      </c>
    </row>
    <row r="180" spans="1:2" x14ac:dyDescent="0.25">
      <c r="A180" t="s">
        <v>152</v>
      </c>
      <c r="B180">
        <v>1</v>
      </c>
    </row>
    <row r="181" spans="1:2" x14ac:dyDescent="0.25">
      <c r="A181" t="s">
        <v>192</v>
      </c>
      <c r="B181">
        <v>1</v>
      </c>
    </row>
    <row r="182" spans="1:2" x14ac:dyDescent="0.25">
      <c r="A182" t="s">
        <v>212</v>
      </c>
      <c r="B182">
        <v>1</v>
      </c>
    </row>
    <row r="183" spans="1:2" x14ac:dyDescent="0.25">
      <c r="A183" t="s">
        <v>247</v>
      </c>
      <c r="B183">
        <v>1</v>
      </c>
    </row>
    <row r="184" spans="1:2" x14ac:dyDescent="0.25">
      <c r="A184" t="s">
        <v>260</v>
      </c>
      <c r="B184">
        <v>1</v>
      </c>
    </row>
    <row r="185" spans="1:2" x14ac:dyDescent="0.25">
      <c r="A185" t="s">
        <v>280</v>
      </c>
      <c r="B185">
        <v>1</v>
      </c>
    </row>
    <row r="186" spans="1:2" x14ac:dyDescent="0.25">
      <c r="A186" t="s">
        <v>302</v>
      </c>
      <c r="B186">
        <v>1</v>
      </c>
    </row>
    <row r="187" spans="1:2" x14ac:dyDescent="0.25">
      <c r="A187" t="s">
        <v>320</v>
      </c>
      <c r="B187">
        <v>1</v>
      </c>
    </row>
    <row r="188" spans="1:2" x14ac:dyDescent="0.25">
      <c r="A188" t="s">
        <v>341</v>
      </c>
      <c r="B188">
        <v>1</v>
      </c>
    </row>
    <row r="189" spans="1:2" x14ac:dyDescent="0.25">
      <c r="A189" t="s">
        <v>350</v>
      </c>
      <c r="B189">
        <v>1</v>
      </c>
    </row>
    <row r="190" spans="1:2" x14ac:dyDescent="0.25">
      <c r="A190" t="s">
        <v>372</v>
      </c>
      <c r="B190">
        <v>1</v>
      </c>
    </row>
    <row r="191" spans="1:2" x14ac:dyDescent="0.25">
      <c r="A191" t="s">
        <v>16</v>
      </c>
      <c r="B191">
        <v>1</v>
      </c>
    </row>
    <row r="192" spans="1:2" x14ac:dyDescent="0.25">
      <c r="A192" t="s">
        <v>44</v>
      </c>
      <c r="B192">
        <v>1</v>
      </c>
    </row>
    <row r="193" spans="1:2" x14ac:dyDescent="0.25">
      <c r="A193" t="s">
        <v>68</v>
      </c>
      <c r="B193">
        <v>1</v>
      </c>
    </row>
    <row r="194" spans="1:2" x14ac:dyDescent="0.25">
      <c r="A194" t="s">
        <v>99</v>
      </c>
      <c r="B194">
        <v>1</v>
      </c>
    </row>
    <row r="195" spans="1:2" x14ac:dyDescent="0.25">
      <c r="A195" t="s">
        <v>107</v>
      </c>
      <c r="B195">
        <v>1</v>
      </c>
    </row>
    <row r="196" spans="1:2" x14ac:dyDescent="0.25">
      <c r="A196" t="s">
        <v>116</v>
      </c>
      <c r="B196">
        <v>1</v>
      </c>
    </row>
    <row r="197" spans="1:2" x14ac:dyDescent="0.25">
      <c r="A197" t="s">
        <v>123</v>
      </c>
      <c r="B197">
        <v>1</v>
      </c>
    </row>
    <row r="198" spans="1:2" x14ac:dyDescent="0.25">
      <c r="A198" t="s">
        <v>153</v>
      </c>
      <c r="B198">
        <v>1</v>
      </c>
    </row>
    <row r="199" spans="1:2" x14ac:dyDescent="0.25">
      <c r="A199" t="s">
        <v>171</v>
      </c>
      <c r="B199">
        <v>1</v>
      </c>
    </row>
    <row r="200" spans="1:2" x14ac:dyDescent="0.25">
      <c r="A200" t="s">
        <v>193</v>
      </c>
      <c r="B200">
        <v>1</v>
      </c>
    </row>
    <row r="201" spans="1:2" x14ac:dyDescent="0.25">
      <c r="A201" t="s">
        <v>227</v>
      </c>
      <c r="B201">
        <v>1</v>
      </c>
    </row>
    <row r="202" spans="1:2" x14ac:dyDescent="0.25">
      <c r="A202" t="s">
        <v>232</v>
      </c>
      <c r="B202">
        <v>1</v>
      </c>
    </row>
    <row r="203" spans="1:2" x14ac:dyDescent="0.25">
      <c r="A203" t="s">
        <v>251</v>
      </c>
      <c r="B203">
        <v>1</v>
      </c>
    </row>
    <row r="204" spans="1:2" x14ac:dyDescent="0.25">
      <c r="A204" t="s">
        <v>266</v>
      </c>
      <c r="B204">
        <v>1</v>
      </c>
    </row>
    <row r="205" spans="1:2" x14ac:dyDescent="0.25">
      <c r="A205" t="s">
        <v>281</v>
      </c>
      <c r="B205">
        <v>1</v>
      </c>
    </row>
    <row r="206" spans="1:2" x14ac:dyDescent="0.25">
      <c r="A206" t="s">
        <v>297</v>
      </c>
      <c r="B206">
        <v>1</v>
      </c>
    </row>
    <row r="207" spans="1:2" x14ac:dyDescent="0.25">
      <c r="A207" t="s">
        <v>303</v>
      </c>
      <c r="B207">
        <v>1</v>
      </c>
    </row>
    <row r="208" spans="1:2" x14ac:dyDescent="0.25">
      <c r="A208" t="s">
        <v>313</v>
      </c>
      <c r="B208">
        <v>1</v>
      </c>
    </row>
    <row r="209" spans="1:2" x14ac:dyDescent="0.25">
      <c r="A209" t="s">
        <v>384</v>
      </c>
      <c r="B209">
        <v>1</v>
      </c>
    </row>
    <row r="210" spans="1:2" x14ac:dyDescent="0.25">
      <c r="A210" t="s">
        <v>69</v>
      </c>
      <c r="B210">
        <v>1</v>
      </c>
    </row>
    <row r="211" spans="1:2" x14ac:dyDescent="0.25">
      <c r="A211" t="s">
        <v>80</v>
      </c>
      <c r="B211">
        <v>1</v>
      </c>
    </row>
    <row r="212" spans="1:2" x14ac:dyDescent="0.25">
      <c r="A212" t="s">
        <v>87</v>
      </c>
      <c r="B212">
        <v>1</v>
      </c>
    </row>
    <row r="213" spans="1:2" x14ac:dyDescent="0.25">
      <c r="A213" t="s">
        <v>100</v>
      </c>
      <c r="B213">
        <v>1</v>
      </c>
    </row>
    <row r="214" spans="1:2" x14ac:dyDescent="0.25">
      <c r="A214" t="s">
        <v>124</v>
      </c>
      <c r="B214">
        <v>1</v>
      </c>
    </row>
    <row r="215" spans="1:2" x14ac:dyDescent="0.25">
      <c r="A215" t="s">
        <v>133</v>
      </c>
      <c r="B215">
        <v>1</v>
      </c>
    </row>
    <row r="216" spans="1:2" x14ac:dyDescent="0.25">
      <c r="A216" t="s">
        <v>141</v>
      </c>
      <c r="B216">
        <v>1</v>
      </c>
    </row>
    <row r="217" spans="1:2" x14ac:dyDescent="0.25">
      <c r="A217" t="s">
        <v>154</v>
      </c>
      <c r="B217">
        <v>1</v>
      </c>
    </row>
    <row r="218" spans="1:2" x14ac:dyDescent="0.25">
      <c r="A218" t="s">
        <v>158</v>
      </c>
      <c r="B218">
        <v>1</v>
      </c>
    </row>
    <row r="219" spans="1:2" x14ac:dyDescent="0.25">
      <c r="A219" t="s">
        <v>164</v>
      </c>
      <c r="B219">
        <v>1</v>
      </c>
    </row>
    <row r="220" spans="1:2" x14ac:dyDescent="0.25">
      <c r="A220" t="s">
        <v>172</v>
      </c>
      <c r="B220">
        <v>1</v>
      </c>
    </row>
    <row r="221" spans="1:2" x14ac:dyDescent="0.25">
      <c r="A221" t="s">
        <v>176</v>
      </c>
      <c r="B221">
        <v>1</v>
      </c>
    </row>
    <row r="222" spans="1:2" x14ac:dyDescent="0.25">
      <c r="A222" t="s">
        <v>213</v>
      </c>
      <c r="B222">
        <v>1</v>
      </c>
    </row>
    <row r="223" spans="1:2" x14ac:dyDescent="0.25">
      <c r="A223" t="s">
        <v>221</v>
      </c>
      <c r="B223">
        <v>1</v>
      </c>
    </row>
    <row r="224" spans="1:2" x14ac:dyDescent="0.25">
      <c r="A224" t="s">
        <v>228</v>
      </c>
      <c r="B224">
        <v>1</v>
      </c>
    </row>
    <row r="225" spans="1:2" x14ac:dyDescent="0.25">
      <c r="A225" t="s">
        <v>237</v>
      </c>
      <c r="B225">
        <v>1</v>
      </c>
    </row>
    <row r="226" spans="1:2" x14ac:dyDescent="0.25">
      <c r="A226" t="s">
        <v>252</v>
      </c>
      <c r="B226">
        <v>1</v>
      </c>
    </row>
    <row r="227" spans="1:2" x14ac:dyDescent="0.25">
      <c r="A227" t="s">
        <v>267</v>
      </c>
      <c r="B227">
        <v>1</v>
      </c>
    </row>
    <row r="228" spans="1:2" x14ac:dyDescent="0.25">
      <c r="A228" t="s">
        <v>286</v>
      </c>
      <c r="B228">
        <v>1</v>
      </c>
    </row>
    <row r="229" spans="1:2" x14ac:dyDescent="0.25">
      <c r="A229" t="s">
        <v>308</v>
      </c>
      <c r="B229">
        <v>1</v>
      </c>
    </row>
    <row r="230" spans="1:2" x14ac:dyDescent="0.25">
      <c r="A230" t="s">
        <v>314</v>
      </c>
      <c r="B230">
        <v>1</v>
      </c>
    </row>
    <row r="231" spans="1:2" x14ac:dyDescent="0.25">
      <c r="A231" t="s">
        <v>325</v>
      </c>
      <c r="B231">
        <v>1</v>
      </c>
    </row>
    <row r="232" spans="1:2" x14ac:dyDescent="0.25">
      <c r="A232" t="s">
        <v>362</v>
      </c>
      <c r="B232">
        <v>1</v>
      </c>
    </row>
    <row r="233" spans="1:2" x14ac:dyDescent="0.25">
      <c r="A233" t="s">
        <v>377</v>
      </c>
      <c r="B233">
        <v>1</v>
      </c>
    </row>
    <row r="234" spans="1:2" x14ac:dyDescent="0.25">
      <c r="A234" t="s">
        <v>389</v>
      </c>
      <c r="B234">
        <v>1</v>
      </c>
    </row>
    <row r="235" spans="1:2" x14ac:dyDescent="0.25">
      <c r="A235" t="s">
        <v>112</v>
      </c>
      <c r="B235">
        <v>1</v>
      </c>
    </row>
    <row r="236" spans="1:2" x14ac:dyDescent="0.25">
      <c r="A236" t="s">
        <v>134</v>
      </c>
      <c r="B236">
        <v>1</v>
      </c>
    </row>
    <row r="237" spans="1:2" x14ac:dyDescent="0.25">
      <c r="A237" t="s">
        <v>165</v>
      </c>
      <c r="B237">
        <v>1</v>
      </c>
    </row>
    <row r="238" spans="1:2" x14ac:dyDescent="0.25">
      <c r="A238" t="s">
        <v>177</v>
      </c>
      <c r="B238">
        <v>1</v>
      </c>
    </row>
    <row r="239" spans="1:2" x14ac:dyDescent="0.25">
      <c r="A239" t="s">
        <v>214</v>
      </c>
      <c r="B239">
        <v>1</v>
      </c>
    </row>
    <row r="240" spans="1:2" x14ac:dyDescent="0.25">
      <c r="A240" t="s">
        <v>229</v>
      </c>
      <c r="B240">
        <v>1</v>
      </c>
    </row>
    <row r="241" spans="1:2" x14ac:dyDescent="0.25">
      <c r="A241" t="s">
        <v>253</v>
      </c>
      <c r="B241">
        <v>1</v>
      </c>
    </row>
    <row r="242" spans="1:2" x14ac:dyDescent="0.25">
      <c r="A242" t="s">
        <v>287</v>
      </c>
      <c r="B242">
        <v>1</v>
      </c>
    </row>
    <row r="243" spans="1:2" x14ac:dyDescent="0.25">
      <c r="A243" t="s">
        <v>315</v>
      </c>
      <c r="B243">
        <v>1</v>
      </c>
    </row>
    <row r="244" spans="1:2" x14ac:dyDescent="0.25">
      <c r="A244" t="s">
        <v>326</v>
      </c>
      <c r="B244">
        <v>1</v>
      </c>
    </row>
    <row r="245" spans="1:2" x14ac:dyDescent="0.25">
      <c r="A245" t="s">
        <v>333</v>
      </c>
      <c r="B245">
        <v>1</v>
      </c>
    </row>
    <row r="246" spans="1:2" x14ac:dyDescent="0.25">
      <c r="A246" t="s">
        <v>336</v>
      </c>
      <c r="B246">
        <v>1</v>
      </c>
    </row>
    <row r="247" spans="1:2" x14ac:dyDescent="0.25">
      <c r="A247" t="s">
        <v>346</v>
      </c>
      <c r="B247">
        <v>1</v>
      </c>
    </row>
    <row r="248" spans="1:2" x14ac:dyDescent="0.25">
      <c r="A248" t="s">
        <v>373</v>
      </c>
      <c r="B248">
        <v>1</v>
      </c>
    </row>
    <row r="249" spans="1:2" x14ac:dyDescent="0.25">
      <c r="A249" t="s">
        <v>19</v>
      </c>
      <c r="B249">
        <v>1</v>
      </c>
    </row>
    <row r="250" spans="1:2" x14ac:dyDescent="0.25">
      <c r="A250" t="s">
        <v>30</v>
      </c>
      <c r="B250">
        <v>1</v>
      </c>
    </row>
    <row r="251" spans="1:2" x14ac:dyDescent="0.25">
      <c r="A251" t="s">
        <v>101</v>
      </c>
      <c r="B251">
        <v>1</v>
      </c>
    </row>
    <row r="252" spans="1:2" x14ac:dyDescent="0.25">
      <c r="A252" t="s">
        <v>118</v>
      </c>
      <c r="B252">
        <v>1</v>
      </c>
    </row>
    <row r="253" spans="1:2" x14ac:dyDescent="0.25">
      <c r="A253" t="s">
        <v>166</v>
      </c>
      <c r="B253">
        <v>1</v>
      </c>
    </row>
    <row r="254" spans="1:2" x14ac:dyDescent="0.25">
      <c r="A254" t="s">
        <v>178</v>
      </c>
      <c r="B254">
        <v>1</v>
      </c>
    </row>
    <row r="255" spans="1:2" x14ac:dyDescent="0.25">
      <c r="A255" t="s">
        <v>215</v>
      </c>
      <c r="B255">
        <v>1</v>
      </c>
    </row>
    <row r="256" spans="1:2" x14ac:dyDescent="0.25">
      <c r="A256" t="s">
        <v>243</v>
      </c>
      <c r="B256">
        <v>1</v>
      </c>
    </row>
    <row r="257" spans="1:2" x14ac:dyDescent="0.25">
      <c r="A257" t="s">
        <v>254</v>
      </c>
      <c r="B257">
        <v>1</v>
      </c>
    </row>
    <row r="258" spans="1:2" x14ac:dyDescent="0.25">
      <c r="A258" t="s">
        <v>261</v>
      </c>
      <c r="B258">
        <v>1</v>
      </c>
    </row>
    <row r="259" spans="1:2" x14ac:dyDescent="0.25">
      <c r="A259" t="s">
        <v>288</v>
      </c>
      <c r="B259">
        <v>1</v>
      </c>
    </row>
    <row r="260" spans="1:2" x14ac:dyDescent="0.25">
      <c r="A260" t="s">
        <v>304</v>
      </c>
      <c r="B260">
        <v>1</v>
      </c>
    </row>
    <row r="261" spans="1:2" x14ac:dyDescent="0.25">
      <c r="A261" t="s">
        <v>316</v>
      </c>
      <c r="B261">
        <v>1</v>
      </c>
    </row>
    <row r="262" spans="1:2" x14ac:dyDescent="0.25">
      <c r="A262" t="s">
        <v>322</v>
      </c>
      <c r="B262">
        <v>1</v>
      </c>
    </row>
    <row r="263" spans="1:2" x14ac:dyDescent="0.25">
      <c r="A263" t="s">
        <v>354</v>
      </c>
      <c r="B263">
        <v>1</v>
      </c>
    </row>
    <row r="264" spans="1:2" x14ac:dyDescent="0.25">
      <c r="A264" t="s">
        <v>358</v>
      </c>
      <c r="B264">
        <v>1</v>
      </c>
    </row>
    <row r="265" spans="1:2" x14ac:dyDescent="0.25">
      <c r="A265" t="s">
        <v>378</v>
      </c>
      <c r="B265">
        <v>1</v>
      </c>
    </row>
    <row r="266" spans="1:2" x14ac:dyDescent="0.25">
      <c r="A266" t="s">
        <v>9</v>
      </c>
      <c r="B266">
        <v>1</v>
      </c>
    </row>
    <row r="267" spans="1:2" x14ac:dyDescent="0.25">
      <c r="A267" t="s">
        <v>63</v>
      </c>
      <c r="B267">
        <v>1</v>
      </c>
    </row>
    <row r="268" spans="1:2" x14ac:dyDescent="0.25">
      <c r="A268" t="s">
        <v>75</v>
      </c>
      <c r="B268">
        <v>1</v>
      </c>
    </row>
    <row r="269" spans="1:2" x14ac:dyDescent="0.25">
      <c r="A269" t="s">
        <v>102</v>
      </c>
      <c r="B269">
        <v>1</v>
      </c>
    </row>
    <row r="270" spans="1:2" x14ac:dyDescent="0.25">
      <c r="A270" t="s">
        <v>108</v>
      </c>
      <c r="B270">
        <v>1</v>
      </c>
    </row>
    <row r="271" spans="1:2" x14ac:dyDescent="0.25">
      <c r="A271" t="s">
        <v>113</v>
      </c>
      <c r="B271">
        <v>1</v>
      </c>
    </row>
    <row r="272" spans="1:2" x14ac:dyDescent="0.25">
      <c r="A272" t="s">
        <v>135</v>
      </c>
      <c r="B272">
        <v>1</v>
      </c>
    </row>
    <row r="273" spans="1:2" x14ac:dyDescent="0.25">
      <c r="A273" t="s">
        <v>143</v>
      </c>
      <c r="B273">
        <v>1</v>
      </c>
    </row>
    <row r="274" spans="1:2" x14ac:dyDescent="0.25">
      <c r="A274" t="s">
        <v>200</v>
      </c>
      <c r="B274">
        <v>1</v>
      </c>
    </row>
    <row r="275" spans="1:2" x14ac:dyDescent="0.25">
      <c r="A275" t="s">
        <v>216</v>
      </c>
      <c r="B275">
        <v>1</v>
      </c>
    </row>
    <row r="276" spans="1:2" x14ac:dyDescent="0.25">
      <c r="A276" t="s">
        <v>233</v>
      </c>
      <c r="B276">
        <v>1</v>
      </c>
    </row>
    <row r="277" spans="1:2" x14ac:dyDescent="0.25">
      <c r="A277" t="s">
        <v>255</v>
      </c>
      <c r="B277">
        <v>1</v>
      </c>
    </row>
    <row r="278" spans="1:2" x14ac:dyDescent="0.25">
      <c r="A278" t="s">
        <v>271</v>
      </c>
      <c r="B278">
        <v>1</v>
      </c>
    </row>
    <row r="279" spans="1:2" x14ac:dyDescent="0.25">
      <c r="A279" t="s">
        <v>293</v>
      </c>
      <c r="B279">
        <v>1</v>
      </c>
    </row>
    <row r="280" spans="1:2" x14ac:dyDescent="0.25">
      <c r="A280" t="s">
        <v>298</v>
      </c>
      <c r="B280">
        <v>1</v>
      </c>
    </row>
    <row r="281" spans="1:2" x14ac:dyDescent="0.25">
      <c r="A281" t="s">
        <v>305</v>
      </c>
      <c r="B281">
        <v>1</v>
      </c>
    </row>
    <row r="282" spans="1:2" x14ac:dyDescent="0.25">
      <c r="A282" t="s">
        <v>309</v>
      </c>
      <c r="B282">
        <v>1</v>
      </c>
    </row>
    <row r="283" spans="1:2" x14ac:dyDescent="0.25">
      <c r="A283" t="s">
        <v>337</v>
      </c>
      <c r="B283">
        <v>1</v>
      </c>
    </row>
    <row r="284" spans="1:2" x14ac:dyDescent="0.25">
      <c r="A284" t="s">
        <v>360</v>
      </c>
      <c r="B284">
        <v>1</v>
      </c>
    </row>
    <row r="285" spans="1:2" x14ac:dyDescent="0.25">
      <c r="A285" t="s">
        <v>365</v>
      </c>
      <c r="B285">
        <v>1</v>
      </c>
    </row>
    <row r="286" spans="1:2" x14ac:dyDescent="0.25">
      <c r="A286" t="s">
        <v>374</v>
      </c>
      <c r="B286">
        <v>1</v>
      </c>
    </row>
    <row r="287" spans="1:2" x14ac:dyDescent="0.25">
      <c r="A287" t="s">
        <v>379</v>
      </c>
      <c r="B287">
        <v>1</v>
      </c>
    </row>
    <row r="288" spans="1:2" x14ac:dyDescent="0.25">
      <c r="A288" t="s">
        <v>385</v>
      </c>
      <c r="B288">
        <v>1</v>
      </c>
    </row>
    <row r="289" spans="1:2" x14ac:dyDescent="0.25">
      <c r="A289" t="s">
        <v>10</v>
      </c>
      <c r="B289">
        <v>1</v>
      </c>
    </row>
    <row r="290" spans="1:2" x14ac:dyDescent="0.25">
      <c r="A290" t="s">
        <v>40</v>
      </c>
      <c r="B290">
        <v>1</v>
      </c>
    </row>
    <row r="291" spans="1:2" x14ac:dyDescent="0.25">
      <c r="A291" t="s">
        <v>70</v>
      </c>
      <c r="B291">
        <v>1</v>
      </c>
    </row>
    <row r="292" spans="1:2" x14ac:dyDescent="0.25">
      <c r="A292" t="s">
        <v>94</v>
      </c>
      <c r="B292">
        <v>1</v>
      </c>
    </row>
    <row r="293" spans="1:2" x14ac:dyDescent="0.25">
      <c r="A293" t="s">
        <v>103</v>
      </c>
      <c r="B293">
        <v>1</v>
      </c>
    </row>
    <row r="294" spans="1:2" x14ac:dyDescent="0.25">
      <c r="A294" t="s">
        <v>114</v>
      </c>
      <c r="B294">
        <v>1</v>
      </c>
    </row>
    <row r="295" spans="1:2" x14ac:dyDescent="0.25">
      <c r="A295" t="s">
        <v>119</v>
      </c>
      <c r="B295">
        <v>1</v>
      </c>
    </row>
    <row r="296" spans="1:2" x14ac:dyDescent="0.25">
      <c r="A296" t="s">
        <v>128</v>
      </c>
      <c r="B296">
        <v>1</v>
      </c>
    </row>
    <row r="297" spans="1:2" x14ac:dyDescent="0.25">
      <c r="A297" t="s">
        <v>136</v>
      </c>
      <c r="B297">
        <v>1</v>
      </c>
    </row>
    <row r="298" spans="1:2" x14ac:dyDescent="0.25">
      <c r="A298" t="s">
        <v>155</v>
      </c>
      <c r="B298">
        <v>1</v>
      </c>
    </row>
    <row r="299" spans="1:2" x14ac:dyDescent="0.25">
      <c r="A299" t="s">
        <v>180</v>
      </c>
      <c r="B299">
        <v>1</v>
      </c>
    </row>
    <row r="300" spans="1:2" x14ac:dyDescent="0.25">
      <c r="A300" t="s">
        <v>201</v>
      </c>
      <c r="B300">
        <v>1</v>
      </c>
    </row>
    <row r="301" spans="1:2" x14ac:dyDescent="0.25">
      <c r="A301" t="s">
        <v>230</v>
      </c>
      <c r="B301">
        <v>1</v>
      </c>
    </row>
    <row r="302" spans="1:2" x14ac:dyDescent="0.25">
      <c r="A302" t="s">
        <v>234</v>
      </c>
      <c r="B302">
        <v>1</v>
      </c>
    </row>
    <row r="303" spans="1:2" x14ac:dyDescent="0.25">
      <c r="A303" t="s">
        <v>262</v>
      </c>
      <c r="B303">
        <v>1</v>
      </c>
    </row>
    <row r="304" spans="1:2" x14ac:dyDescent="0.25">
      <c r="A304" t="s">
        <v>274</v>
      </c>
      <c r="B304">
        <v>1</v>
      </c>
    </row>
    <row r="305" spans="1:2" x14ac:dyDescent="0.25">
      <c r="A305" t="s">
        <v>283</v>
      </c>
      <c r="B305">
        <v>1</v>
      </c>
    </row>
    <row r="306" spans="1:2" x14ac:dyDescent="0.25">
      <c r="A306" t="s">
        <v>299</v>
      </c>
      <c r="B306">
        <v>1</v>
      </c>
    </row>
    <row r="307" spans="1:2" x14ac:dyDescent="0.25">
      <c r="A307" t="s">
        <v>306</v>
      </c>
      <c r="B307">
        <v>1</v>
      </c>
    </row>
    <row r="308" spans="1:2" x14ac:dyDescent="0.25">
      <c r="A308" t="s">
        <v>334</v>
      </c>
      <c r="B308">
        <v>1</v>
      </c>
    </row>
    <row r="309" spans="1:2" x14ac:dyDescent="0.25">
      <c r="A309" t="s">
        <v>347</v>
      </c>
      <c r="B309">
        <v>1</v>
      </c>
    </row>
    <row r="310" spans="1:2" x14ac:dyDescent="0.25">
      <c r="A310" t="s">
        <v>351</v>
      </c>
      <c r="B310">
        <v>1</v>
      </c>
    </row>
    <row r="311" spans="1:2" x14ac:dyDescent="0.25">
      <c r="A311" t="s">
        <v>370</v>
      </c>
      <c r="B311">
        <v>1</v>
      </c>
    </row>
    <row r="312" spans="1:2" x14ac:dyDescent="0.25">
      <c r="A312" t="s">
        <v>381</v>
      </c>
      <c r="B312">
        <v>1</v>
      </c>
    </row>
    <row r="313" spans="1:2" x14ac:dyDescent="0.25">
      <c r="A313" t="s">
        <v>386</v>
      </c>
      <c r="B313">
        <v>1</v>
      </c>
    </row>
    <row r="314" spans="1:2" x14ac:dyDescent="0.25">
      <c r="A314" t="s">
        <v>390</v>
      </c>
      <c r="B314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componentsTopics</vt:lpstr>
      <vt:lpstr>Tabelle6</vt:lpstr>
      <vt:lpstr>Tabelle5</vt:lpstr>
      <vt:lpstr>Tabelle4</vt:lpstr>
      <vt:lpstr>after addition</vt:lpstr>
      <vt:lpstr>after institution</vt:lpstr>
      <vt:lpstr>after server</vt:lpstr>
      <vt:lpstr>after secure</vt:lpstr>
      <vt:lpstr>after employee</vt:lpstr>
      <vt:lpstr>after user</vt:lpstr>
      <vt:lpstr>after access</vt:lpstr>
      <vt:lpstr>data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Cristofer Soler</cp:lastModifiedBy>
  <dcterms:created xsi:type="dcterms:W3CDTF">2018-01-11T23:23:31Z</dcterms:created>
  <dcterms:modified xsi:type="dcterms:W3CDTF">2018-01-13T15:27:17Z</dcterms:modified>
</cp:coreProperties>
</file>